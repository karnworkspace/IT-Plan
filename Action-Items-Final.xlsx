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on Items" sheetId="1" state="visible" r:id="rId3"/>
    <sheet name="Sprint Plan" sheetId="2" state="visible" r:id="rId4"/>
    <sheet name="Decision Log" sheetId="3" state="visible" r:id="rId5"/>
  </sheets>
  <definedNames>
    <definedName function="false" hidden="true" localSheetId="0" name="_xlnm._FilterDatabase" vbProcedure="false">'Action Items'!$A$4:$K$59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<sst xmlns="http://schemas.openxmlformats.org/spreadsheetml/2006/main" count="589" uniqueCount="262">
  <si>
    <t xml:space="preserve">งานที่ต้องลงมือทำ — สรุปจาก Feedback Review (PPTX + MD + Voice + User Comment)</t>
  </si>
  <si>
    <t xml:space="preserve">รวมจากทุกแหล่ง: 53 ข้อ comment → ยกเลิก 3 ข้อ, เลื่อนท้าย 2 ข้อ → เหลืองานดำเนินการ 48 ข้อ + งานเสริมจากไฟล์แรก 8 ข้อ = รวม 56 ข้อ</t>
  </si>
  <si>
    <t xml:space="preserve">No.</t>
  </si>
  <si>
    <t xml:space="preserve">รหัส</t>
  </si>
  <si>
    <t xml:space="preserve">Sprint</t>
  </si>
  <si>
    <t xml:space="preserve">Priority</t>
  </si>
  <si>
    <t xml:space="preserve">กลุ่มงาน</t>
  </si>
  <si>
    <t xml:space="preserve">หน้า/Feature</t>
  </si>
  <si>
    <t xml:space="preserve">งานที่ต้องทำ (Action)</t>
  </si>
  <si>
    <t xml:space="preserve">รายละเอียด / เงื่อนไขจาก Comment</t>
  </si>
  <si>
    <t xml:space="preserve">ประเภท</t>
  </si>
  <si>
    <t xml:space="preserve">Effort</t>
  </si>
  <si>
    <t xml:space="preserve">Done</t>
  </si>
  <si>
    <t xml:space="preserve">R01+R02+V02</t>
  </si>
  <si>
    <t xml:space="preserve">1</t>
  </si>
  <si>
    <t xml:space="preserve">P0</t>
  </si>
  <si>
    <t xml:space="preserve">Role &amp; Permission</t>
  </si>
  <si>
    <t xml:space="preserve">ทุกหน้า</t>
  </si>
  <si>
    <t xml:space="preserve">สร้างระบบ Role 3 ระดับ: Admin &gt; Manager &gt; Member</t>
  </si>
  <si>
    <t xml:space="preserve">Admin=เห็นทุกอย่าง / Manager=เห็นเฉพาะลูกน้องในทีม ไม่เห็น Manager ทีมอื่น / Member=เห็นเฉพาะงานตัวเอง (ป้องกันเปรียบเทียบปริมาณงาน)</t>
  </si>
  <si>
    <t xml:space="preserve">Backend+Frontend</t>
  </si>
  <si>
    <t xml:space="preserve">L</t>
  </si>
  <si>
    <t xml:space="preserve">R03</t>
  </si>
  <si>
    <t xml:space="preserve">My Projects</t>
  </si>
  <si>
    <t xml:space="preserve">My Projects เห็นเฉพาะ project ที่เราเป็น Member</t>
  </si>
  <si>
    <t xml:space="preserve">ดำเนินการได้</t>
  </si>
  <si>
    <t xml:space="preserve">Backend</t>
  </si>
  <si>
    <t xml:space="preserve">M</t>
  </si>
  <si>
    <t xml:space="preserve">F08+F09</t>
  </si>
  <si>
    <t xml:space="preserve">New Feature</t>
  </si>
  <si>
    <t xml:space="preserve">Task Status</t>
  </si>
  <si>
    <t xml:space="preserve">Mandatory comment เมื่อย้าย status + เก็บ History log</t>
  </si>
  <si>
    <t xml:space="preserve">บังคับกรอก comment ถ้าไม่กรอกย้ายไม่ได้ / Log: ชื่อ user, วันที่, เวลา, note</t>
  </si>
  <si>
    <t xml:space="preserve">V05</t>
  </si>
  <si>
    <t xml:space="preserve">Logic/Rules</t>
  </si>
  <si>
    <t xml:space="preserve">Cancel Logic: ล้าง Delay ไม่กระทบ KPI แต่เก็บ Log</t>
  </si>
  <si>
    <t xml:space="preserve">เมื่อ Cancel → clear เวลา Delay ทิ้ง (ไม่กระทบ KPI พนักงาน) แต่เก็บ log ว่าลงแรงทำแล้ว สำหรับรายงาน ผบห.</t>
  </si>
  <si>
    <t xml:space="preserve">D02</t>
  </si>
  <si>
    <t xml:space="preserve">Data/Architecture</t>
  </si>
  <si>
    <t xml:space="preserve">Projects</t>
  </si>
  <si>
    <t xml:space="preserve">แยกประเภท Project: Report ผบห. vs Internal project</t>
  </si>
  <si>
    <t xml:space="preserve">แยกเมนูใหม่ 1 เมนู สำหรับ Internal project (งานจิปาถะ ไม่รวม KPI ผบห.) Manager สร้าง+กำหนด Member</t>
  </si>
  <si>
    <t xml:space="preserve">U05+U06</t>
  </si>
  <si>
    <t xml:space="preserve">P1</t>
  </si>
  <si>
    <t xml:space="preserve">UI/UX</t>
  </si>
  <si>
    <t xml:space="preserve">Dashboard</t>
  </si>
  <si>
    <t xml:space="preserve">ปรับ Layout Quick Access + Team Activity ให้ Fit Screen</t>
  </si>
  <si>
    <t xml:space="preserve">ย้ายลงล่าง ไม่ต้องเลื่อน Scroll bar</t>
  </si>
  <si>
    <t xml:space="preserve">Frontend</t>
  </si>
  <si>
    <t xml:space="preserve">S</t>
  </si>
  <si>
    <t xml:space="preserve">U10</t>
  </si>
  <si>
    <t xml:space="preserve">Sidebar</t>
  </si>
  <si>
    <t xml:space="preserve">Sidebar ย่อ/ขยายได้ (&lt;&lt;, &gt;&gt;)</t>
  </si>
  <si>
    <t xml:space="preserve">กดย่อ → แสดงผลส่วนอื่นได้มากขึ้น</t>
  </si>
  <si>
    <t xml:space="preserve">U01</t>
  </si>
  <si>
    <t xml:space="preserve">P2</t>
  </si>
  <si>
    <t xml:space="preserve">Login</t>
  </si>
  <si>
    <t xml:space="preserve">เปลี่ยน Title "Frontend" → "IT Project System"</t>
  </si>
  <si>
    <t xml:space="preserve">XS</t>
  </si>
  <si>
    <t xml:space="preserve">U02+F01</t>
  </si>
  <si>
    <t xml:space="preserve">Disable Forgot Password link</t>
  </si>
  <si>
    <t xml:space="preserve">ยกเลิกฟีเจอร์ Forgot Password → ให้ Admin เข้าไปแก้ไข password เอง</t>
  </si>
  <si>
    <t xml:space="preserve">Frontend+Backend</t>
  </si>
  <si>
    <t xml:space="preserve">U03</t>
  </si>
  <si>
    <t xml:space="preserve">เปลี่ยน Logo เป็นโลโก้เสนา</t>
  </si>
  <si>
    <t xml:space="preserve">ใช้รูป SenaDlogo.png ในfolder PIC ของ Project นี้</t>
  </si>
  <si>
    <t xml:space="preserve">U04</t>
  </si>
  <si>
    <t xml:space="preserve">นำคำว่า "Welcome back" ออก</t>
  </si>
  <si>
    <t xml:space="preserve">U07</t>
  </si>
  <si>
    <t xml:space="preserve">ใส่คำว่า "IT Overall" เป็น header</t>
  </si>
  <si>
    <t xml:space="preserve">U08</t>
  </si>
  <si>
    <t xml:space="preserve">4 กล่อง stat ไม่ใส่สี → กรอบสีขาว ลดขนาด</t>
  </si>
  <si>
    <t xml:space="preserve">U09</t>
  </si>
  <si>
    <t xml:space="preserve">เปลี่ยน label → "View My Projects"</t>
  </si>
  <si>
    <t xml:space="preserve">V01</t>
  </si>
  <si>
    <t xml:space="preserve">เปลี่ยน "IT tracking 2026" → "Total IT project" ตัวหนาสีดำ 2 เลเยอร์</t>
  </si>
  <si>
    <t xml:space="preserve">U11+U12</t>
  </si>
  <si>
    <t xml:space="preserve">Projects/Timeline</t>
  </si>
  <si>
    <t xml:space="preserve">เปลี่ยนแถบสี plan + สถานะให้ตรงมาตรฐาน</t>
  </si>
  <si>
    <t xml:space="preserve">Plan/Pending=ฟ้า, Active=เขียว, Delay=แดง, Complete=น้ำเงิน, Hold=เหลือง, Cancel=เทา</t>
  </si>
  <si>
    <t xml:space="preserve">U13</t>
  </si>
  <si>
    <t xml:space="preserve">ตัวเลขตัวหนาสีดำ</t>
  </si>
  <si>
    <t xml:space="preserve">U15</t>
  </si>
  <si>
    <t xml:space="preserve">แก้ไข title page ตามหน้า เช่น "My Projects"</t>
  </si>
  <si>
    <t xml:space="preserve">U16</t>
  </si>
  <si>
    <t xml:space="preserve">เติม label "Project Status :"</t>
  </si>
  <si>
    <t xml:space="preserve">U14</t>
  </si>
  <si>
    <t xml:space="preserve">ขีดสี List View ตรงตามสถานะ Project</t>
  </si>
  <si>
    <t xml:space="preserve">F04</t>
  </si>
  <si>
    <t xml:space="preserve">My Tasks</t>
  </si>
  <si>
    <t xml:space="preserve">เปลี่ยนสี status + เพิ่ม Overdue</t>
  </si>
  <si>
    <t xml:space="preserve">U17</t>
  </si>
  <si>
    <t xml:space="preserve">Task Detail</t>
  </si>
  <si>
    <t xml:space="preserve">ย้าย Daily Updates ขึ้นต่อจาก Description + เส้นคั่น</t>
  </si>
  <si>
    <t xml:space="preserve">F12</t>
  </si>
  <si>
    <t xml:space="preserve">แก้ label ปุ่ม Submit → "Update" + auto-save + แสดง log สีจาง</t>
  </si>
  <si>
    <t xml:space="preserve">V06</t>
  </si>
  <si>
    <t xml:space="preserve">ช่อง Note บังคับกรอก (ดอกจันแดง)</t>
  </si>
  <si>
    <t xml:space="preserve">U18</t>
  </si>
  <si>
    <t xml:space="preserve">Gantt</t>
  </si>
  <si>
    <t xml:space="preserve">Time Remaining ไม่หมุน + กล่อง 1 บรรทัด</t>
  </si>
  <si>
    <t xml:space="preserve">U19</t>
  </si>
  <si>
    <t xml:space="preserve">Calendar</t>
  </si>
  <si>
    <t xml:space="preserve">ตัด 2 กล่อง stat ด้านบนออก</t>
  </si>
  <si>
    <t xml:space="preserve">F02+F03</t>
  </si>
  <si>
    <t xml:space="preserve">2</t>
  </si>
  <si>
    <t xml:space="preserve">สร้างหน้า My Projects ใหม่ + เพิ่มเมนู Sidebar</t>
  </si>
  <si>
    <t xml:space="preserve">แสดงเฉพาะ project ที่เราเป็น Member + ตัวเลข stat + Checkbox กรอง status</t>
  </si>
  <si>
    <t xml:space="preserve">F05</t>
  </si>
  <si>
    <t xml:space="preserve">เพิ่ม List View ตาราง + sorting ASC/DESC</t>
  </si>
  <si>
    <t xml:space="preserve">column: Task Name, Assignee, Start Date, Due Date, Priority / ต้นแบบจาก ClickUp / ลากเปลี่ยน status card ได้</t>
  </si>
  <si>
    <t xml:space="preserve">F06</t>
  </si>
  <si>
    <t xml:space="preserve">Multi-filter: Task Status, Priority, Tags (แบบ ClickUp)</t>
  </si>
  <si>
    <t xml:space="preserve">F10+V04</t>
  </si>
  <si>
    <t xml:space="preserve">Hold Logic: หยุดนับเวลา + คำนวณ Delay ถึงจุด Hold</t>
  </si>
  <si>
    <t xml:space="preserve">ถ้า Delay ก่อน Hold → นับ Delay แค่ถึงจุดนั้น / เมื่อ Unhold → เริ่มนับใหม่</t>
  </si>
  <si>
    <t xml:space="preserve">F11</t>
  </si>
  <si>
    <t xml:space="preserve">ลบ Current Status + Progress (%) ออก</t>
  </si>
  <si>
    <t xml:space="preserve">ใช้ status ของ Task ด้านบนเป็นหลัก</t>
  </si>
  <si>
    <t xml:space="preserve">F13</t>
  </si>
  <si>
    <t xml:space="preserve">ปุ่มแนบไฟล์ — รองรับ &gt;1 ไฟล์ ขนาด ≤20MB ต่อไฟล์</t>
  </si>
  <si>
    <t xml:space="preserve">Comment ยืนยัน: ≤20MB ต่อ 1 ไฟล์ / รองรับ PDF, รูปภาพ, Excel, Video</t>
  </si>
  <si>
    <t xml:space="preserve">F14</t>
  </si>
  <si>
    <t xml:space="preserve">Subtask</t>
  </si>
  <si>
    <t xml:space="preserve">Subtask เพิ่ม start/due date + assignee (ไม่มี Tag)</t>
  </si>
  <si>
    <t xml:space="preserve">V07</t>
  </si>
  <si>
    <t xml:space="preserve">ปิด Sub-Task ทั้งหมดก่อนจึงปิด Task ใหญ่ได้</t>
  </si>
  <si>
    <t xml:space="preserve">V08</t>
  </si>
  <si>
    <t xml:space="preserve">Sub-Task delay → แจ้งเตือนให้ปรับเวลา Task ใหญ่</t>
  </si>
  <si>
    <t xml:space="preserve">D03</t>
  </si>
  <si>
    <t xml:space="preserve">Activity log ครบถ้วน — เก็บ user, วันที่, เวลา</t>
  </si>
  <si>
    <t xml:space="preserve">R04</t>
  </si>
  <si>
    <t xml:space="preserve">Manager สร้าง project + tag member เข้ากลุ่ม</t>
  </si>
  <si>
    <t xml:space="preserve">ควบคุมไม่ให้พนักงานเห็นงานอิสระของกันและกัน</t>
  </si>
  <si>
    <t xml:space="preserve">R05</t>
  </si>
  <si>
    <t xml:space="preserve">Tasks</t>
  </si>
  <si>
    <t xml:space="preserve">Member สร้าง Task ได้เอง (tracking งานภายใน)</t>
  </si>
  <si>
    <t xml:space="preserve">F15</t>
  </si>
  <si>
    <t xml:space="preserve">Subtask/Tag</t>
  </si>
  <si>
    <t xml:space="preserve">CRUD tag + ใส่สี + apply กับ Task ที่มี tag นี้ทั้งหมด</t>
  </si>
  <si>
    <t xml:space="preserve">F16</t>
  </si>
  <si>
    <t xml:space="preserve">เปลี่ยนปุ่ม "Convert to Task" → "Move to task"</t>
  </si>
  <si>
    <t xml:space="preserve">ยกระดับ Sub-Task ขึ้นเป็น Task หลักได้</t>
  </si>
  <si>
    <t xml:space="preserve">D04</t>
  </si>
  <si>
    <t xml:space="preserve">Subtask ไม่มี Tag (inherit จาก parent task)</t>
  </si>
  <si>
    <t xml:space="preserve">F18</t>
  </si>
  <si>
    <t xml:space="preserve">Calendar: สีตามสถานะ + Filter (Status, Tags, Priority)</t>
  </si>
  <si>
    <t xml:space="preserve">ไม่เอาเรื่อง email — ที่เหลือดำเนินการได้</t>
  </si>
  <si>
    <t xml:space="preserve">V09</t>
  </si>
  <si>
    <t xml:space="preserve">Notification</t>
  </si>
  <si>
    <t xml:space="preserve">ระบบกระดิ่งแจ้งเตือน (Notification) เมื่อ Assign งานใหม่</t>
  </si>
  <si>
    <t xml:space="preserve">ไม่ส่ง email (ลดขยะ) → ใช้ in-app notification แทน</t>
  </si>
  <si>
    <t xml:space="preserve">F07</t>
  </si>
  <si>
    <t xml:space="preserve">3</t>
  </si>
  <si>
    <t xml:space="preserve">P3</t>
  </si>
  <si>
    <t xml:space="preserve">เลื่อนสลับ status column ขึ้น/ลง (แบบ ClickUp)</t>
  </si>
  <si>
    <t xml:space="preserve">F17</t>
  </si>
  <si>
    <t xml:space="preserve">Gantt drag ขยับวัน + auto update + hover 3 last activity + สีตามสถานะ</t>
  </si>
  <si>
    <t xml:space="preserve">D05</t>
  </si>
  <si>
    <t xml:space="preserve">ทั้งระบบ</t>
  </si>
  <si>
    <t xml:space="preserve">Responsive web: PC, Notebook, Tablet, iPad</t>
  </si>
  <si>
    <t xml:space="preserve">ไม่เอา iPhone/มือถือ / ไว้ priority ท้ายสุด</t>
  </si>
  <si>
    <t xml:space="preserve">XL</t>
  </si>
  <si>
    <t xml:space="preserve">S01</t>
  </si>
  <si>
    <t xml:space="preserve">Role-based menu visibility — ซ่อนเมนูตาม Role</t>
  </si>
  <si>
    <t xml:space="preserve">เสริมจากไฟล์แรก (#51) — เกี่ยวข้องกับ R01+V02</t>
  </si>
  <si>
    <t xml:space="preserve">S02</t>
  </si>
  <si>
    <t xml:space="preserve">Bulk action — เลือก task หลายตัวเปลี่ยน status พร้อมกัน</t>
  </si>
  <si>
    <t xml:space="preserve">เสริมจากไฟล์แรก (#52)</t>
  </si>
  <si>
    <t xml:space="preserve">S03</t>
  </si>
  <si>
    <t xml:space="preserve">Due date reminder / overdue highlight แสดงสี</t>
  </si>
  <si>
    <t xml:space="preserve">เสริมจากไฟล์แรก (#53)</t>
  </si>
  <si>
    <t xml:space="preserve">S04</t>
  </si>
  <si>
    <t xml:space="preserve">Dashboard summary chart (pie/bar) สรุปภาพรวม</t>
  </si>
  <si>
    <t xml:space="preserve">เสริมจากไฟล์แรก (#50)</t>
  </si>
  <si>
    <t xml:space="preserve">S05</t>
  </si>
  <si>
    <t xml:space="preserve">Search global (project + task) ค้นหาได้ทั้งระบบ</t>
  </si>
  <si>
    <t xml:space="preserve">เสริมจากไฟล์แรก (#49)</t>
  </si>
  <si>
    <t xml:space="preserve">S06</t>
  </si>
  <si>
    <t xml:space="preserve">Reports</t>
  </si>
  <si>
    <t xml:space="preserve">Export report to PDF</t>
  </si>
  <si>
    <t xml:space="preserve">เสริมจากไฟล์แรก (#41)</t>
  </si>
  <si>
    <t xml:space="preserve">S07</t>
  </si>
  <si>
    <t xml:space="preserve">Database indexing + API rate limiting</t>
  </si>
  <si>
    <t xml:space="preserve">เสริมจากไฟล์แรก (#46, #47)</t>
  </si>
  <si>
    <t xml:space="preserve">S08</t>
  </si>
  <si>
    <t xml:space="preserve">Backup strategy + Logging/monitoring (production)</t>
  </si>
  <si>
    <t xml:space="preserve">เสริมจากไฟล์แรก (#54, #55)</t>
  </si>
  <si>
    <t xml:space="preserve">Backend/DevOps</t>
  </si>
  <si>
    <t xml:space="preserve">D01</t>
  </si>
  <si>
    <t xml:space="preserve">ท้าย</t>
  </si>
  <si>
    <t xml:space="preserve">เพิ่ม category "Infrastructure and Network"</t>
  </si>
  <si>
    <t xml:space="preserve">Comment: ทำเพิ่มอีกครั้งเป็น priority ท้าย</t>
  </si>
  <si>
    <t xml:space="preserve">รวม</t>
  </si>
  <si>
    <t xml:space="preserve">ยกเลิก — ตามที่ User comment ไว้</t>
  </si>
  <si>
    <t xml:space="preserve">X1</t>
  </si>
  <si>
    <t xml:space="preserve">—</t>
  </si>
  <si>
    <t xml:space="preserve">F01</t>
  </si>
  <si>
    <t xml:space="preserve">Forgot Password ส่ง email</t>
  </si>
  <si>
    <t xml:space="preserve">ยกเลิก → ใช้ Admin แก้ password แทน</t>
  </si>
  <si>
    <t xml:space="preserve">X2</t>
  </si>
  <si>
    <t xml:space="preserve">F18 (บางส่วน)</t>
  </si>
  <si>
    <t xml:space="preserve">Calendar email Zimbra integration</t>
  </si>
  <si>
    <t xml:space="preserve">ยกเลิก → ใช้ in-app notification แทน</t>
  </si>
  <si>
    <t xml:space="preserve">X3</t>
  </si>
  <si>
    <t xml:space="preserve">D05 (บางส่วน)</t>
  </si>
  <si>
    <t xml:space="preserve">Responsive iPhone/มือถือ</t>
  </si>
  <si>
    <t xml:space="preserve">ยกเลิก — หน้าจอเล็กเกินไป</t>
  </si>
  <si>
    <t xml:space="preserve">แผน Sprint — สรุปจาก Action Items</t>
  </si>
  <si>
    <t xml:space="preserve">ระยะเวลา</t>
  </si>
  <si>
    <t xml:space="preserve">Sprint 1</t>
  </si>
  <si>
    <t xml:space="preserve">Week 1-2</t>
  </si>
  <si>
    <t xml:space="preserve">Sprint 2</t>
  </si>
  <si>
    <t xml:space="preserve">Week 3-4</t>
  </si>
  <si>
    <t xml:space="preserve">Sprint 3+</t>
  </si>
  <si>
    <t xml:space="preserve">Week 5+</t>
  </si>
  <si>
    <t xml:space="preserve">Sprint 1 สรุป: P0 Critical + P2 Quick Wins (CSS/Text)</t>
  </si>
  <si>
    <t xml:space="preserve">P0: Role 3 ระดับ + Mandatory comment/log + Cancel logic + แยก Project type + My Projects filter</t>
  </si>
  <si>
    <t xml:space="preserve">P1: Layout Dashboard fit screen + Sidebar collapse</t>
  </si>
  <si>
    <t xml:space="preserve">P2: Quick Wins — เปลี่ยน title/logo/label/สี 19 จุด (ส่วนใหญ่ XS-S effort)</t>
  </si>
  <si>
    <t xml:space="preserve">Sprint 2 สรุป: P1 Features หลัก + P2 Features</t>
  </si>
  <si>
    <t xml:space="preserve">P1: My Projects page + List View + Multi-filter + Hold logic + Subtask dates/assignee + File attach + Sub-Task validation + Activity log</t>
  </si>
  <si>
    <t xml:space="preserve">P2: Tag CRUD + Calendar filter/สี + In-app Notification + Bulk action + Search global + Export PDF</t>
  </si>
  <si>
    <t xml:space="preserve">Sprint 3+ สรุป: P3 Nice-to-have + Deferred</t>
  </si>
  <si>
    <t xml:space="preserve">P3: Drag reorder columns + Gantt drag + Responsive (PC/Notebook/iPad only) + Backup/Logging</t>
  </si>
  <si>
    <t xml:space="preserve">Deferred: Infrastructure and Network category (ไว้ท้าย)</t>
  </si>
  <si>
    <t xml:space="preserve">บันทึกข้อตัดสินใจจาก Comment ที่เปลี่ยนแปลงจากแผนเดิม</t>
  </si>
  <si>
    <t xml:space="preserve">ข้อ</t>
  </si>
  <si>
    <t xml:space="preserve">รายละเอียดเดิม</t>
  </si>
  <si>
    <t xml:space="preserve">Comment / ตัดสินใจใหม่</t>
  </si>
  <si>
    <t xml:space="preserve">ผลกระทบ</t>
  </si>
  <si>
    <t xml:space="preserve">Forgot Password
(U02+F01)</t>
  </si>
  <si>
    <t xml:space="preserve">MD: ลบลิงก์ออก หรือทำจริงส่ง email</t>
  </si>
  <si>
    <t xml:space="preserve">ยกเลิกทั้งหมด → Disable menu / ให้ Admin แก้ password แทน</t>
  </si>
  <si>
    <t xml:space="preserve">ลด scope Sprint 1 / ไม่ต้องทำ email service</t>
  </si>
  <si>
    <t xml:space="preserve">โลโก้
(U03)</t>
  </si>
  <si>
    <t xml:space="preserve">เปลี่ยนเป็น logo เสนา</t>
  </si>
  <si>
    <t xml:space="preserve">ใช้ไฟล์ SenaDlogo.png ในfolder PIC ของ Project</t>
  </si>
  <si>
    <t xml:space="preserve">มีไฟล์พร้อมใช้ ไม่ต้องหา</t>
  </si>
  <si>
    <t xml:space="preserve">แนบไฟล์
(F13)</t>
  </si>
  <si>
    <t xml:space="preserve">MD: รวมทุกไฟล์ ≤20MB ต่อ 1 Notes</t>
  </si>
  <si>
    <t xml:space="preserve">Comment ยืนยัน: ≤20MB ต่อ 1 ไฟล์ (ไม่ใช่รวม)</t>
  </si>
  <si>
    <t xml:space="preserve">Backend: validate per file / UX: แสดง limit ต่อไฟล์</t>
  </si>
  <si>
    <t xml:space="preserve">Email Notification
(F18+V09)</t>
  </si>
  <si>
    <t xml:space="preserve">MD: ยิง calendar email เข้า Zimbra (ถ้าทำได้)</t>
  </si>
  <si>
    <t xml:space="preserve">ยกเลิกเรื่อง email ทั้งหมด → ใช้ in-app กระดิ่งแจ้งเตือนแทน</t>
  </si>
  <si>
    <t xml:space="preserve">ลด scope / ไม่ต้อง integrate Zimbra / ทำ notification system แทน</t>
  </si>
  <si>
    <t xml:space="preserve">Responsive
(D05)</t>
  </si>
  <si>
    <t xml:space="preserve">MD: PC, Notebook, Tablet, iPad</t>
  </si>
  <si>
    <t xml:space="preserve">ไม่เอามือถือ / ไว้ priority ท้ายสุด</t>
  </si>
  <si>
    <t xml:space="preserve">ลด effort / focus เฉพาะ tablet breakpoint ขึ้นไป</t>
  </si>
  <si>
    <t xml:space="preserve">Infra &amp; Network
(D01)</t>
  </si>
  <si>
    <t xml:space="preserve">ทำเพิ่มอีกครั้ง เป็น priority ท้าย</t>
  </si>
  <si>
    <t xml:space="preserve">เลื่อนออกจาก Sprint 1 → ไว้ท้ายสุด</t>
  </si>
  <si>
    <t xml:space="preserve">Role 3 ระดับ
(V02)</t>
  </si>
  <si>
    <t xml:space="preserve">MD: 2 ระดับ (Admin/Member)</t>
  </si>
  <si>
    <t xml:space="preserve">ดำเนินการได้ → ยืนยัน 3 ระดับ: Admin &gt; Manager &gt; Member</t>
  </si>
  <si>
    <t xml:space="preserve">ต้องออกแบบ DB schema + middleware ใหม่ให้รองรับ</t>
  </si>
  <si>
    <t xml:space="preserve">Cancel Logic
(V05)</t>
  </si>
  <si>
    <t xml:space="preserve">MD: ไม่มีรายละเอียด</t>
  </si>
  <si>
    <t xml:space="preserve">ล้าง Delay ไม่กระทบ KPI แต่เก็บ Log สำหรับ ผบห.</t>
  </si>
  <si>
    <t xml:space="preserve">ต้องเขียน logic แยก cancel calculation + retain log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</si>
</sst>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49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trike val="true"/>
      <sz val="10"/>
      <color rgb="FF99999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C7CE"/>
        <bgColor rgb="FFFCE4D6"/>
      </patternFill>
    </fill>
    <fill>
      <patternFill patternType="solid">
        <fgColor rgb="FFFFE699"/>
        <bgColor rgb="FFFCE4D6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6" min="5" style="0" width="16"/>
    <col collapsed="false" customWidth="true" hidden="false" outlineLevel="0" max="7" min="7" style="0" width="48"/>
    <col collapsed="false" customWidth="true" hidden="false" outlineLevel="0" max="8" min="8" style="0" width="50"/>
    <col collapsed="false" customWidth="true" hidden="false" outlineLevel="0" max="9" min="9" style="0" width="16"/>
    <col collapsed="false" customWidth="true" hidden="false" outlineLevel="0" max="10" min="10" style="0" width="7"/>
    <col collapsed="false" customWidth="true" hidden="false" outlineLevel="0" max="11" min="11" style="0" width="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42" hidden="false" customHeight="true" outlineLevel="0" collapsed="false">
      <c r="A5" s="4" t="n">
        <v>1</v>
      </c>
      <c r="B5" s="4" t="s">
        <v>13</v>
      </c>
      <c r="C5" s="4" t="s">
        <v>14</v>
      </c>
      <c r="D5" s="5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4" t="s">
        <v>20</v>
      </c>
      <c r="J5" s="4" t="s">
        <v>21</v>
      </c>
      <c r="K5" s="4"/>
    </row>
    <row r="6" customFormat="false" ht="42" hidden="false" customHeight="true" outlineLevel="0" collapsed="false">
      <c r="A6" s="4" t="n">
        <v>2</v>
      </c>
      <c r="B6" s="4" t="s">
        <v>22</v>
      </c>
      <c r="C6" s="4" t="s">
        <v>14</v>
      </c>
      <c r="D6" s="5" t="s">
        <v>15</v>
      </c>
      <c r="E6" s="6" t="s">
        <v>16</v>
      </c>
      <c r="F6" s="6" t="s">
        <v>23</v>
      </c>
      <c r="G6" s="6" t="s">
        <v>24</v>
      </c>
      <c r="H6" s="6" t="s">
        <v>25</v>
      </c>
      <c r="I6" s="4" t="s">
        <v>26</v>
      </c>
      <c r="J6" s="4" t="s">
        <v>27</v>
      </c>
      <c r="K6" s="4"/>
    </row>
    <row r="7" customFormat="false" ht="42" hidden="false" customHeight="true" outlineLevel="0" collapsed="false">
      <c r="A7" s="4" t="n">
        <v>3</v>
      </c>
      <c r="B7" s="4" t="s">
        <v>28</v>
      </c>
      <c r="C7" s="4" t="s">
        <v>14</v>
      </c>
      <c r="D7" s="5" t="s">
        <v>15</v>
      </c>
      <c r="E7" s="6" t="s">
        <v>29</v>
      </c>
      <c r="F7" s="6" t="s">
        <v>30</v>
      </c>
      <c r="G7" s="6" t="s">
        <v>31</v>
      </c>
      <c r="H7" s="6" t="s">
        <v>32</v>
      </c>
      <c r="I7" s="4" t="s">
        <v>20</v>
      </c>
      <c r="J7" s="4" t="s">
        <v>21</v>
      </c>
      <c r="K7" s="4"/>
    </row>
    <row r="8" customFormat="false" ht="42" hidden="false" customHeight="true" outlineLevel="0" collapsed="false">
      <c r="A8" s="4" t="n">
        <v>4</v>
      </c>
      <c r="B8" s="4" t="s">
        <v>33</v>
      </c>
      <c r="C8" s="4" t="s">
        <v>14</v>
      </c>
      <c r="D8" s="5" t="s">
        <v>15</v>
      </c>
      <c r="E8" s="6" t="s">
        <v>34</v>
      </c>
      <c r="F8" s="6" t="s">
        <v>30</v>
      </c>
      <c r="G8" s="6" t="s">
        <v>35</v>
      </c>
      <c r="H8" s="6" t="s">
        <v>36</v>
      </c>
      <c r="I8" s="4" t="s">
        <v>26</v>
      </c>
      <c r="J8" s="4" t="s">
        <v>27</v>
      </c>
      <c r="K8" s="4"/>
    </row>
    <row r="9" customFormat="false" ht="42" hidden="false" customHeight="true" outlineLevel="0" collapsed="false">
      <c r="A9" s="4" t="n">
        <v>5</v>
      </c>
      <c r="B9" s="4" t="s">
        <v>37</v>
      </c>
      <c r="C9" s="4" t="s">
        <v>14</v>
      </c>
      <c r="D9" s="5" t="s">
        <v>15</v>
      </c>
      <c r="E9" s="6" t="s">
        <v>38</v>
      </c>
      <c r="F9" s="6" t="s">
        <v>39</v>
      </c>
      <c r="G9" s="6" t="s">
        <v>40</v>
      </c>
      <c r="H9" s="6" t="s">
        <v>41</v>
      </c>
      <c r="I9" s="4" t="s">
        <v>20</v>
      </c>
      <c r="J9" s="4" t="s">
        <v>21</v>
      </c>
      <c r="K9" s="4"/>
    </row>
    <row r="10" customFormat="false" ht="42" hidden="false" customHeight="true" outlineLevel="0" collapsed="false">
      <c r="A10" s="4" t="n">
        <v>6</v>
      </c>
      <c r="B10" s="4" t="s">
        <v>42</v>
      </c>
      <c r="C10" s="4" t="s">
        <v>14</v>
      </c>
      <c r="D10" s="7" t="s">
        <v>43</v>
      </c>
      <c r="E10" s="6" t="s">
        <v>44</v>
      </c>
      <c r="F10" s="6" t="s">
        <v>45</v>
      </c>
      <c r="G10" s="6" t="s">
        <v>46</v>
      </c>
      <c r="H10" s="6" t="s">
        <v>47</v>
      </c>
      <c r="I10" s="4" t="s">
        <v>48</v>
      </c>
      <c r="J10" s="4" t="s">
        <v>49</v>
      </c>
      <c r="K10" s="4"/>
    </row>
    <row r="11" customFormat="false" ht="42" hidden="false" customHeight="true" outlineLevel="0" collapsed="false">
      <c r="A11" s="4" t="n">
        <v>7</v>
      </c>
      <c r="B11" s="4" t="s">
        <v>50</v>
      </c>
      <c r="C11" s="4" t="s">
        <v>14</v>
      </c>
      <c r="D11" s="7" t="s">
        <v>43</v>
      </c>
      <c r="E11" s="6" t="s">
        <v>44</v>
      </c>
      <c r="F11" s="6" t="s">
        <v>51</v>
      </c>
      <c r="G11" s="6" t="s">
        <v>52</v>
      </c>
      <c r="H11" s="6" t="s">
        <v>53</v>
      </c>
      <c r="I11" s="4" t="s">
        <v>48</v>
      </c>
      <c r="J11" s="4" t="s">
        <v>27</v>
      </c>
      <c r="K11" s="4"/>
    </row>
    <row r="12" customFormat="false" ht="42" hidden="false" customHeight="true" outlineLevel="0" collapsed="false">
      <c r="A12" s="4" t="n">
        <v>8</v>
      </c>
      <c r="B12" s="4" t="s">
        <v>54</v>
      </c>
      <c r="C12" s="4" t="s">
        <v>14</v>
      </c>
      <c r="D12" s="8" t="s">
        <v>55</v>
      </c>
      <c r="E12" s="6" t="s">
        <v>44</v>
      </c>
      <c r="F12" s="6" t="s">
        <v>56</v>
      </c>
      <c r="G12" s="6" t="s">
        <v>57</v>
      </c>
      <c r="H12" s="6" t="s">
        <v>25</v>
      </c>
      <c r="I12" s="4" t="s">
        <v>48</v>
      </c>
      <c r="J12" s="4" t="s">
        <v>58</v>
      </c>
      <c r="K12" s="4"/>
    </row>
    <row r="13" customFormat="false" ht="42" hidden="false" customHeight="true" outlineLevel="0" collapsed="false">
      <c r="A13" s="4" t="n">
        <v>9</v>
      </c>
      <c r="B13" s="4" t="s">
        <v>59</v>
      </c>
      <c r="C13" s="4" t="s">
        <v>14</v>
      </c>
      <c r="D13" s="8" t="s">
        <v>55</v>
      </c>
      <c r="E13" s="6" t="s">
        <v>44</v>
      </c>
      <c r="F13" s="6" t="s">
        <v>56</v>
      </c>
      <c r="G13" s="6" t="s">
        <v>60</v>
      </c>
      <c r="H13" s="6" t="s">
        <v>61</v>
      </c>
      <c r="I13" s="4" t="s">
        <v>62</v>
      </c>
      <c r="J13" s="4" t="s">
        <v>49</v>
      </c>
      <c r="K13" s="4"/>
    </row>
    <row r="14" customFormat="false" ht="42" hidden="false" customHeight="true" outlineLevel="0" collapsed="false">
      <c r="A14" s="4" t="n">
        <v>10</v>
      </c>
      <c r="B14" s="4" t="s">
        <v>63</v>
      </c>
      <c r="C14" s="4" t="s">
        <v>14</v>
      </c>
      <c r="D14" s="8" t="s">
        <v>55</v>
      </c>
      <c r="E14" s="6" t="s">
        <v>44</v>
      </c>
      <c r="F14" s="6" t="s">
        <v>45</v>
      </c>
      <c r="G14" s="6" t="s">
        <v>64</v>
      </c>
      <c r="H14" s="6" t="s">
        <v>65</v>
      </c>
      <c r="I14" s="4" t="s">
        <v>48</v>
      </c>
      <c r="J14" s="4" t="s">
        <v>58</v>
      </c>
      <c r="K14" s="4"/>
    </row>
    <row r="15" customFormat="false" ht="42" hidden="false" customHeight="true" outlineLevel="0" collapsed="false">
      <c r="A15" s="4" t="n">
        <v>11</v>
      </c>
      <c r="B15" s="4" t="s">
        <v>66</v>
      </c>
      <c r="C15" s="4" t="s">
        <v>14</v>
      </c>
      <c r="D15" s="8" t="s">
        <v>55</v>
      </c>
      <c r="E15" s="6" t="s">
        <v>44</v>
      </c>
      <c r="F15" s="6" t="s">
        <v>45</v>
      </c>
      <c r="G15" s="6" t="s">
        <v>67</v>
      </c>
      <c r="H15" s="6" t="s">
        <v>25</v>
      </c>
      <c r="I15" s="4" t="s">
        <v>48</v>
      </c>
      <c r="J15" s="4" t="s">
        <v>58</v>
      </c>
      <c r="K15" s="4"/>
    </row>
    <row r="16" customFormat="false" ht="42" hidden="false" customHeight="true" outlineLevel="0" collapsed="false">
      <c r="A16" s="4" t="n">
        <v>12</v>
      </c>
      <c r="B16" s="4" t="s">
        <v>68</v>
      </c>
      <c r="C16" s="4" t="s">
        <v>14</v>
      </c>
      <c r="D16" s="8" t="s">
        <v>55</v>
      </c>
      <c r="E16" s="6" t="s">
        <v>44</v>
      </c>
      <c r="F16" s="6" t="s">
        <v>45</v>
      </c>
      <c r="G16" s="6" t="s">
        <v>69</v>
      </c>
      <c r="H16" s="6" t="s">
        <v>25</v>
      </c>
      <c r="I16" s="4" t="s">
        <v>48</v>
      </c>
      <c r="J16" s="4" t="s">
        <v>58</v>
      </c>
      <c r="K16" s="4"/>
    </row>
    <row r="17" customFormat="false" ht="42" hidden="false" customHeight="true" outlineLevel="0" collapsed="false">
      <c r="A17" s="4" t="n">
        <v>13</v>
      </c>
      <c r="B17" s="4" t="s">
        <v>70</v>
      </c>
      <c r="C17" s="4" t="s">
        <v>14</v>
      </c>
      <c r="D17" s="8" t="s">
        <v>55</v>
      </c>
      <c r="E17" s="6" t="s">
        <v>44</v>
      </c>
      <c r="F17" s="6" t="s">
        <v>45</v>
      </c>
      <c r="G17" s="6" t="s">
        <v>71</v>
      </c>
      <c r="H17" s="6" t="s">
        <v>25</v>
      </c>
      <c r="I17" s="4" t="s">
        <v>48</v>
      </c>
      <c r="J17" s="4" t="s">
        <v>49</v>
      </c>
      <c r="K17" s="4"/>
    </row>
    <row r="18" customFormat="false" ht="42" hidden="false" customHeight="true" outlineLevel="0" collapsed="false">
      <c r="A18" s="4" t="n">
        <v>14</v>
      </c>
      <c r="B18" s="4" t="s">
        <v>72</v>
      </c>
      <c r="C18" s="4" t="s">
        <v>14</v>
      </c>
      <c r="D18" s="8" t="s">
        <v>55</v>
      </c>
      <c r="E18" s="6" t="s">
        <v>44</v>
      </c>
      <c r="F18" s="6" t="s">
        <v>45</v>
      </c>
      <c r="G18" s="6" t="s">
        <v>73</v>
      </c>
      <c r="H18" s="6" t="s">
        <v>25</v>
      </c>
      <c r="I18" s="4" t="s">
        <v>48</v>
      </c>
      <c r="J18" s="4" t="s">
        <v>58</v>
      </c>
      <c r="K18" s="4"/>
    </row>
    <row r="19" customFormat="false" ht="42" hidden="false" customHeight="true" outlineLevel="0" collapsed="false">
      <c r="A19" s="4" t="n">
        <v>15</v>
      </c>
      <c r="B19" s="4" t="s">
        <v>74</v>
      </c>
      <c r="C19" s="4" t="s">
        <v>14</v>
      </c>
      <c r="D19" s="8" t="s">
        <v>55</v>
      </c>
      <c r="E19" s="6" t="s">
        <v>44</v>
      </c>
      <c r="F19" s="6" t="s">
        <v>45</v>
      </c>
      <c r="G19" s="6" t="s">
        <v>75</v>
      </c>
      <c r="H19" s="6" t="s">
        <v>25</v>
      </c>
      <c r="I19" s="4" t="s">
        <v>48</v>
      </c>
      <c r="J19" s="4" t="s">
        <v>58</v>
      </c>
      <c r="K19" s="4"/>
    </row>
    <row r="20" customFormat="false" ht="42" hidden="false" customHeight="true" outlineLevel="0" collapsed="false">
      <c r="A20" s="4" t="n">
        <v>16</v>
      </c>
      <c r="B20" s="4" t="s">
        <v>76</v>
      </c>
      <c r="C20" s="4" t="s">
        <v>14</v>
      </c>
      <c r="D20" s="8" t="s">
        <v>55</v>
      </c>
      <c r="E20" s="6" t="s">
        <v>44</v>
      </c>
      <c r="F20" s="6" t="s">
        <v>77</v>
      </c>
      <c r="G20" s="6" t="s">
        <v>78</v>
      </c>
      <c r="H20" s="6" t="s">
        <v>79</v>
      </c>
      <c r="I20" s="4" t="s">
        <v>48</v>
      </c>
      <c r="J20" s="4" t="s">
        <v>49</v>
      </c>
      <c r="K20" s="4"/>
    </row>
    <row r="21" customFormat="false" ht="42" hidden="false" customHeight="true" outlineLevel="0" collapsed="false">
      <c r="A21" s="4" t="n">
        <v>17</v>
      </c>
      <c r="B21" s="4" t="s">
        <v>80</v>
      </c>
      <c r="C21" s="4" t="s">
        <v>14</v>
      </c>
      <c r="D21" s="8" t="s">
        <v>55</v>
      </c>
      <c r="E21" s="6" t="s">
        <v>44</v>
      </c>
      <c r="F21" s="6" t="s">
        <v>77</v>
      </c>
      <c r="G21" s="6" t="s">
        <v>81</v>
      </c>
      <c r="H21" s="6" t="s">
        <v>25</v>
      </c>
      <c r="I21" s="4" t="s">
        <v>48</v>
      </c>
      <c r="J21" s="4" t="s">
        <v>58</v>
      </c>
      <c r="K21" s="4"/>
    </row>
    <row r="22" customFormat="false" ht="42" hidden="false" customHeight="true" outlineLevel="0" collapsed="false">
      <c r="A22" s="4" t="n">
        <v>18</v>
      </c>
      <c r="B22" s="4" t="s">
        <v>82</v>
      </c>
      <c r="C22" s="4" t="s">
        <v>14</v>
      </c>
      <c r="D22" s="8" t="s">
        <v>55</v>
      </c>
      <c r="E22" s="6" t="s">
        <v>44</v>
      </c>
      <c r="F22" s="6" t="s">
        <v>23</v>
      </c>
      <c r="G22" s="6" t="s">
        <v>83</v>
      </c>
      <c r="H22" s="6" t="s">
        <v>25</v>
      </c>
      <c r="I22" s="4" t="s">
        <v>48</v>
      </c>
      <c r="J22" s="4" t="s">
        <v>58</v>
      </c>
      <c r="K22" s="4"/>
    </row>
    <row r="23" customFormat="false" ht="42" hidden="false" customHeight="true" outlineLevel="0" collapsed="false">
      <c r="A23" s="4" t="n">
        <v>19</v>
      </c>
      <c r="B23" s="4" t="s">
        <v>84</v>
      </c>
      <c r="C23" s="4" t="s">
        <v>14</v>
      </c>
      <c r="D23" s="8" t="s">
        <v>55</v>
      </c>
      <c r="E23" s="6" t="s">
        <v>44</v>
      </c>
      <c r="F23" s="6" t="s">
        <v>23</v>
      </c>
      <c r="G23" s="6" t="s">
        <v>85</v>
      </c>
      <c r="H23" s="6" t="s">
        <v>25</v>
      </c>
      <c r="I23" s="4" t="s">
        <v>48</v>
      </c>
      <c r="J23" s="4" t="s">
        <v>58</v>
      </c>
      <c r="K23" s="4"/>
    </row>
    <row r="24" customFormat="false" ht="42" hidden="false" customHeight="true" outlineLevel="0" collapsed="false">
      <c r="A24" s="4" t="n">
        <v>20</v>
      </c>
      <c r="B24" s="4" t="s">
        <v>86</v>
      </c>
      <c r="C24" s="4" t="s">
        <v>14</v>
      </c>
      <c r="D24" s="8" t="s">
        <v>55</v>
      </c>
      <c r="E24" s="6" t="s">
        <v>44</v>
      </c>
      <c r="F24" s="6" t="s">
        <v>23</v>
      </c>
      <c r="G24" s="6" t="s">
        <v>87</v>
      </c>
      <c r="H24" s="6" t="s">
        <v>25</v>
      </c>
      <c r="I24" s="4" t="s">
        <v>48</v>
      </c>
      <c r="J24" s="4" t="s">
        <v>49</v>
      </c>
      <c r="K24" s="4"/>
    </row>
    <row r="25" customFormat="false" ht="42" hidden="false" customHeight="true" outlineLevel="0" collapsed="false">
      <c r="A25" s="4" t="n">
        <v>21</v>
      </c>
      <c r="B25" s="4" t="s">
        <v>88</v>
      </c>
      <c r="C25" s="4" t="s">
        <v>14</v>
      </c>
      <c r="D25" s="8" t="s">
        <v>55</v>
      </c>
      <c r="E25" s="6" t="s">
        <v>44</v>
      </c>
      <c r="F25" s="6" t="s">
        <v>89</v>
      </c>
      <c r="G25" s="6" t="s">
        <v>90</v>
      </c>
      <c r="H25" s="6" t="s">
        <v>25</v>
      </c>
      <c r="I25" s="4" t="s">
        <v>48</v>
      </c>
      <c r="J25" s="4" t="s">
        <v>49</v>
      </c>
      <c r="K25" s="4"/>
    </row>
    <row r="26" customFormat="false" ht="42" hidden="false" customHeight="true" outlineLevel="0" collapsed="false">
      <c r="A26" s="4" t="n">
        <v>22</v>
      </c>
      <c r="B26" s="4" t="s">
        <v>91</v>
      </c>
      <c r="C26" s="4" t="s">
        <v>14</v>
      </c>
      <c r="D26" s="8" t="s">
        <v>55</v>
      </c>
      <c r="E26" s="6" t="s">
        <v>44</v>
      </c>
      <c r="F26" s="6" t="s">
        <v>92</v>
      </c>
      <c r="G26" s="6" t="s">
        <v>93</v>
      </c>
      <c r="H26" s="6" t="s">
        <v>25</v>
      </c>
      <c r="I26" s="4" t="s">
        <v>48</v>
      </c>
      <c r="J26" s="4" t="s">
        <v>49</v>
      </c>
      <c r="K26" s="4"/>
    </row>
    <row r="27" customFormat="false" ht="42" hidden="false" customHeight="true" outlineLevel="0" collapsed="false">
      <c r="A27" s="4" t="n">
        <v>23</v>
      </c>
      <c r="B27" s="4" t="s">
        <v>94</v>
      </c>
      <c r="C27" s="4" t="s">
        <v>14</v>
      </c>
      <c r="D27" s="8" t="s">
        <v>55</v>
      </c>
      <c r="E27" s="6" t="s">
        <v>44</v>
      </c>
      <c r="F27" s="6" t="s">
        <v>92</v>
      </c>
      <c r="G27" s="6" t="s">
        <v>95</v>
      </c>
      <c r="H27" s="6" t="s">
        <v>25</v>
      </c>
      <c r="I27" s="4" t="s">
        <v>62</v>
      </c>
      <c r="J27" s="4" t="s">
        <v>49</v>
      </c>
      <c r="K27" s="4"/>
    </row>
    <row r="28" customFormat="false" ht="42" hidden="false" customHeight="true" outlineLevel="0" collapsed="false">
      <c r="A28" s="4" t="n">
        <v>24</v>
      </c>
      <c r="B28" s="4" t="s">
        <v>96</v>
      </c>
      <c r="C28" s="4" t="s">
        <v>14</v>
      </c>
      <c r="D28" s="8" t="s">
        <v>55</v>
      </c>
      <c r="E28" s="6" t="s">
        <v>29</v>
      </c>
      <c r="F28" s="6" t="s">
        <v>92</v>
      </c>
      <c r="G28" s="6" t="s">
        <v>97</v>
      </c>
      <c r="H28" s="6" t="s">
        <v>25</v>
      </c>
      <c r="I28" s="4" t="s">
        <v>48</v>
      </c>
      <c r="J28" s="4" t="s">
        <v>58</v>
      </c>
      <c r="K28" s="4"/>
    </row>
    <row r="29" customFormat="false" ht="42" hidden="false" customHeight="true" outlineLevel="0" collapsed="false">
      <c r="A29" s="4" t="n">
        <v>25</v>
      </c>
      <c r="B29" s="4" t="s">
        <v>98</v>
      </c>
      <c r="C29" s="4" t="s">
        <v>14</v>
      </c>
      <c r="D29" s="8" t="s">
        <v>55</v>
      </c>
      <c r="E29" s="6" t="s">
        <v>44</v>
      </c>
      <c r="F29" s="6" t="s">
        <v>99</v>
      </c>
      <c r="G29" s="6" t="s">
        <v>100</v>
      </c>
      <c r="H29" s="6" t="s">
        <v>25</v>
      </c>
      <c r="I29" s="4" t="s">
        <v>48</v>
      </c>
      <c r="J29" s="4" t="s">
        <v>49</v>
      </c>
      <c r="K29" s="4"/>
    </row>
    <row r="30" customFormat="false" ht="42" hidden="false" customHeight="true" outlineLevel="0" collapsed="false">
      <c r="A30" s="4" t="n">
        <v>26</v>
      </c>
      <c r="B30" s="4" t="s">
        <v>101</v>
      </c>
      <c r="C30" s="4" t="s">
        <v>14</v>
      </c>
      <c r="D30" s="8" t="s">
        <v>55</v>
      </c>
      <c r="E30" s="6" t="s">
        <v>44</v>
      </c>
      <c r="F30" s="6" t="s">
        <v>102</v>
      </c>
      <c r="G30" s="6" t="s">
        <v>103</v>
      </c>
      <c r="H30" s="6" t="s">
        <v>25</v>
      </c>
      <c r="I30" s="4" t="s">
        <v>48</v>
      </c>
      <c r="J30" s="4" t="s">
        <v>58</v>
      </c>
      <c r="K30" s="4"/>
    </row>
    <row r="31" customFormat="false" ht="42" hidden="false" customHeight="true" outlineLevel="0" collapsed="false">
      <c r="A31" s="4" t="n">
        <v>27</v>
      </c>
      <c r="B31" s="4" t="s">
        <v>104</v>
      </c>
      <c r="C31" s="4" t="s">
        <v>105</v>
      </c>
      <c r="D31" s="7" t="s">
        <v>43</v>
      </c>
      <c r="E31" s="6" t="s">
        <v>29</v>
      </c>
      <c r="F31" s="6" t="s">
        <v>23</v>
      </c>
      <c r="G31" s="6" t="s">
        <v>106</v>
      </c>
      <c r="H31" s="6" t="s">
        <v>107</v>
      </c>
      <c r="I31" s="4" t="s">
        <v>20</v>
      </c>
      <c r="J31" s="4" t="s">
        <v>21</v>
      </c>
      <c r="K31" s="4"/>
    </row>
    <row r="32" customFormat="false" ht="42" hidden="false" customHeight="true" outlineLevel="0" collapsed="false">
      <c r="A32" s="4" t="n">
        <v>28</v>
      </c>
      <c r="B32" s="4" t="s">
        <v>108</v>
      </c>
      <c r="C32" s="4" t="s">
        <v>105</v>
      </c>
      <c r="D32" s="7" t="s">
        <v>43</v>
      </c>
      <c r="E32" s="6" t="s">
        <v>29</v>
      </c>
      <c r="F32" s="6" t="s">
        <v>89</v>
      </c>
      <c r="G32" s="6" t="s">
        <v>109</v>
      </c>
      <c r="H32" s="6" t="s">
        <v>110</v>
      </c>
      <c r="I32" s="4" t="s">
        <v>48</v>
      </c>
      <c r="J32" s="4" t="s">
        <v>21</v>
      </c>
      <c r="K32" s="4"/>
    </row>
    <row r="33" customFormat="false" ht="42" hidden="false" customHeight="true" outlineLevel="0" collapsed="false">
      <c r="A33" s="4" t="n">
        <v>29</v>
      </c>
      <c r="B33" s="4" t="s">
        <v>111</v>
      </c>
      <c r="C33" s="4" t="s">
        <v>105</v>
      </c>
      <c r="D33" s="7" t="s">
        <v>43</v>
      </c>
      <c r="E33" s="6" t="s">
        <v>29</v>
      </c>
      <c r="F33" s="6" t="s">
        <v>89</v>
      </c>
      <c r="G33" s="6" t="s">
        <v>112</v>
      </c>
      <c r="H33" s="6" t="s">
        <v>25</v>
      </c>
      <c r="I33" s="4" t="s">
        <v>48</v>
      </c>
      <c r="J33" s="4" t="s">
        <v>27</v>
      </c>
      <c r="K33" s="4"/>
    </row>
    <row r="34" customFormat="false" ht="42" hidden="false" customHeight="true" outlineLevel="0" collapsed="false">
      <c r="A34" s="4" t="n">
        <v>30</v>
      </c>
      <c r="B34" s="4" t="s">
        <v>113</v>
      </c>
      <c r="C34" s="4" t="s">
        <v>105</v>
      </c>
      <c r="D34" s="7" t="s">
        <v>43</v>
      </c>
      <c r="E34" s="6" t="s">
        <v>34</v>
      </c>
      <c r="F34" s="6" t="s">
        <v>30</v>
      </c>
      <c r="G34" s="6" t="s">
        <v>114</v>
      </c>
      <c r="H34" s="6" t="s">
        <v>115</v>
      </c>
      <c r="I34" s="4" t="s">
        <v>26</v>
      </c>
      <c r="J34" s="4" t="s">
        <v>21</v>
      </c>
      <c r="K34" s="4"/>
    </row>
    <row r="35" customFormat="false" ht="42" hidden="false" customHeight="true" outlineLevel="0" collapsed="false">
      <c r="A35" s="4" t="n">
        <v>31</v>
      </c>
      <c r="B35" s="4" t="s">
        <v>116</v>
      </c>
      <c r="C35" s="4" t="s">
        <v>105</v>
      </c>
      <c r="D35" s="7" t="s">
        <v>43</v>
      </c>
      <c r="E35" s="6" t="s">
        <v>29</v>
      </c>
      <c r="F35" s="6" t="s">
        <v>92</v>
      </c>
      <c r="G35" s="6" t="s">
        <v>117</v>
      </c>
      <c r="H35" s="6" t="s">
        <v>118</v>
      </c>
      <c r="I35" s="4" t="s">
        <v>48</v>
      </c>
      <c r="J35" s="4" t="s">
        <v>49</v>
      </c>
      <c r="K35" s="4"/>
    </row>
    <row r="36" customFormat="false" ht="42" hidden="false" customHeight="true" outlineLevel="0" collapsed="false">
      <c r="A36" s="4" t="n">
        <v>32</v>
      </c>
      <c r="B36" s="4" t="s">
        <v>119</v>
      </c>
      <c r="C36" s="4" t="s">
        <v>105</v>
      </c>
      <c r="D36" s="7" t="s">
        <v>43</v>
      </c>
      <c r="E36" s="6" t="s">
        <v>29</v>
      </c>
      <c r="F36" s="6" t="s">
        <v>92</v>
      </c>
      <c r="G36" s="6" t="s">
        <v>120</v>
      </c>
      <c r="H36" s="6" t="s">
        <v>121</v>
      </c>
      <c r="I36" s="4" t="s">
        <v>20</v>
      </c>
      <c r="J36" s="4" t="s">
        <v>21</v>
      </c>
      <c r="K36" s="4"/>
    </row>
    <row r="37" customFormat="false" ht="42" hidden="false" customHeight="true" outlineLevel="0" collapsed="false">
      <c r="A37" s="4" t="n">
        <v>33</v>
      </c>
      <c r="B37" s="4" t="s">
        <v>122</v>
      </c>
      <c r="C37" s="4" t="s">
        <v>105</v>
      </c>
      <c r="D37" s="7" t="s">
        <v>43</v>
      </c>
      <c r="E37" s="6" t="s">
        <v>29</v>
      </c>
      <c r="F37" s="6" t="s">
        <v>123</v>
      </c>
      <c r="G37" s="6" t="s">
        <v>124</v>
      </c>
      <c r="H37" s="6" t="s">
        <v>25</v>
      </c>
      <c r="I37" s="4" t="s">
        <v>20</v>
      </c>
      <c r="J37" s="4" t="s">
        <v>27</v>
      </c>
      <c r="K37" s="4"/>
    </row>
    <row r="38" customFormat="false" ht="42" hidden="false" customHeight="true" outlineLevel="0" collapsed="false">
      <c r="A38" s="4" t="n">
        <v>34</v>
      </c>
      <c r="B38" s="4" t="s">
        <v>125</v>
      </c>
      <c r="C38" s="4" t="s">
        <v>105</v>
      </c>
      <c r="D38" s="7" t="s">
        <v>43</v>
      </c>
      <c r="E38" s="6" t="s">
        <v>34</v>
      </c>
      <c r="F38" s="6" t="s">
        <v>123</v>
      </c>
      <c r="G38" s="6" t="s">
        <v>126</v>
      </c>
      <c r="H38" s="6" t="s">
        <v>25</v>
      </c>
      <c r="I38" s="4" t="s">
        <v>26</v>
      </c>
      <c r="J38" s="4" t="s">
        <v>27</v>
      </c>
      <c r="K38" s="4"/>
    </row>
    <row r="39" customFormat="false" ht="42" hidden="false" customHeight="true" outlineLevel="0" collapsed="false">
      <c r="A39" s="4" t="n">
        <v>35</v>
      </c>
      <c r="B39" s="4" t="s">
        <v>127</v>
      </c>
      <c r="C39" s="4" t="s">
        <v>105</v>
      </c>
      <c r="D39" s="7" t="s">
        <v>43</v>
      </c>
      <c r="E39" s="6" t="s">
        <v>34</v>
      </c>
      <c r="F39" s="6" t="s">
        <v>123</v>
      </c>
      <c r="G39" s="6" t="s">
        <v>128</v>
      </c>
      <c r="H39" s="6" t="s">
        <v>25</v>
      </c>
      <c r="I39" s="4" t="s">
        <v>20</v>
      </c>
      <c r="J39" s="4" t="s">
        <v>27</v>
      </c>
      <c r="K39" s="4"/>
    </row>
    <row r="40" customFormat="false" ht="42" hidden="false" customHeight="true" outlineLevel="0" collapsed="false">
      <c r="A40" s="4" t="n">
        <v>36</v>
      </c>
      <c r="B40" s="4" t="s">
        <v>129</v>
      </c>
      <c r="C40" s="4" t="s">
        <v>105</v>
      </c>
      <c r="D40" s="7" t="s">
        <v>43</v>
      </c>
      <c r="E40" s="6" t="s">
        <v>38</v>
      </c>
      <c r="F40" s="6" t="s">
        <v>99</v>
      </c>
      <c r="G40" s="6" t="s">
        <v>130</v>
      </c>
      <c r="H40" s="6" t="s">
        <v>25</v>
      </c>
      <c r="I40" s="4" t="s">
        <v>26</v>
      </c>
      <c r="J40" s="4" t="s">
        <v>27</v>
      </c>
      <c r="K40" s="4"/>
    </row>
    <row r="41" customFormat="false" ht="42" hidden="false" customHeight="true" outlineLevel="0" collapsed="false">
      <c r="A41" s="4" t="n">
        <v>37</v>
      </c>
      <c r="B41" s="4" t="s">
        <v>131</v>
      </c>
      <c r="C41" s="4" t="s">
        <v>105</v>
      </c>
      <c r="D41" s="7" t="s">
        <v>43</v>
      </c>
      <c r="E41" s="6" t="s">
        <v>16</v>
      </c>
      <c r="F41" s="6" t="s">
        <v>39</v>
      </c>
      <c r="G41" s="6" t="s">
        <v>132</v>
      </c>
      <c r="H41" s="6" t="s">
        <v>133</v>
      </c>
      <c r="I41" s="4" t="s">
        <v>20</v>
      </c>
      <c r="J41" s="4" t="s">
        <v>27</v>
      </c>
      <c r="K41" s="4"/>
    </row>
    <row r="42" customFormat="false" ht="42" hidden="false" customHeight="true" outlineLevel="0" collapsed="false">
      <c r="A42" s="4" t="n">
        <v>38</v>
      </c>
      <c r="B42" s="4" t="s">
        <v>134</v>
      </c>
      <c r="C42" s="4" t="s">
        <v>105</v>
      </c>
      <c r="D42" s="7" t="s">
        <v>43</v>
      </c>
      <c r="E42" s="6" t="s">
        <v>16</v>
      </c>
      <c r="F42" s="6" t="s">
        <v>135</v>
      </c>
      <c r="G42" s="6" t="s">
        <v>136</v>
      </c>
      <c r="H42" s="6" t="s">
        <v>25</v>
      </c>
      <c r="I42" s="4" t="s">
        <v>20</v>
      </c>
      <c r="J42" s="4" t="s">
        <v>49</v>
      </c>
      <c r="K42" s="4"/>
    </row>
    <row r="43" customFormat="false" ht="42" hidden="false" customHeight="true" outlineLevel="0" collapsed="false">
      <c r="A43" s="4" t="n">
        <v>39</v>
      </c>
      <c r="B43" s="4" t="s">
        <v>137</v>
      </c>
      <c r="C43" s="4" t="s">
        <v>105</v>
      </c>
      <c r="D43" s="8" t="s">
        <v>55</v>
      </c>
      <c r="E43" s="6" t="s">
        <v>29</v>
      </c>
      <c r="F43" s="6" t="s">
        <v>138</v>
      </c>
      <c r="G43" s="6" t="s">
        <v>139</v>
      </c>
      <c r="H43" s="6" t="s">
        <v>25</v>
      </c>
      <c r="I43" s="4" t="s">
        <v>20</v>
      </c>
      <c r="J43" s="4" t="s">
        <v>27</v>
      </c>
      <c r="K43" s="4"/>
    </row>
    <row r="44" customFormat="false" ht="42" hidden="false" customHeight="true" outlineLevel="0" collapsed="false">
      <c r="A44" s="4" t="n">
        <v>40</v>
      </c>
      <c r="B44" s="4" t="s">
        <v>140</v>
      </c>
      <c r="C44" s="4" t="s">
        <v>105</v>
      </c>
      <c r="D44" s="8" t="s">
        <v>55</v>
      </c>
      <c r="E44" s="6" t="s">
        <v>29</v>
      </c>
      <c r="F44" s="6" t="s">
        <v>123</v>
      </c>
      <c r="G44" s="6" t="s">
        <v>141</v>
      </c>
      <c r="H44" s="6" t="s">
        <v>142</v>
      </c>
      <c r="I44" s="4" t="s">
        <v>48</v>
      </c>
      <c r="J44" s="4" t="s">
        <v>49</v>
      </c>
      <c r="K44" s="4"/>
    </row>
    <row r="45" customFormat="false" ht="42" hidden="false" customHeight="true" outlineLevel="0" collapsed="false">
      <c r="A45" s="4" t="n">
        <v>41</v>
      </c>
      <c r="B45" s="4" t="s">
        <v>143</v>
      </c>
      <c r="C45" s="4" t="s">
        <v>105</v>
      </c>
      <c r="D45" s="8" t="s">
        <v>55</v>
      </c>
      <c r="E45" s="6" t="s">
        <v>38</v>
      </c>
      <c r="F45" s="6" t="s">
        <v>123</v>
      </c>
      <c r="G45" s="6" t="s">
        <v>144</v>
      </c>
      <c r="H45" s="6" t="s">
        <v>25</v>
      </c>
      <c r="I45" s="4" t="s">
        <v>26</v>
      </c>
      <c r="J45" s="4" t="s">
        <v>49</v>
      </c>
      <c r="K45" s="4"/>
    </row>
    <row r="46" customFormat="false" ht="42" hidden="false" customHeight="true" outlineLevel="0" collapsed="false">
      <c r="A46" s="4" t="n">
        <v>42</v>
      </c>
      <c r="B46" s="4" t="s">
        <v>145</v>
      </c>
      <c r="C46" s="4" t="s">
        <v>105</v>
      </c>
      <c r="D46" s="8" t="s">
        <v>55</v>
      </c>
      <c r="E46" s="6" t="s">
        <v>29</v>
      </c>
      <c r="F46" s="6" t="s">
        <v>102</v>
      </c>
      <c r="G46" s="6" t="s">
        <v>146</v>
      </c>
      <c r="H46" s="6" t="s">
        <v>147</v>
      </c>
      <c r="I46" s="4" t="s">
        <v>48</v>
      </c>
      <c r="J46" s="4" t="s">
        <v>27</v>
      </c>
      <c r="K46" s="4"/>
    </row>
    <row r="47" customFormat="false" ht="42" hidden="false" customHeight="true" outlineLevel="0" collapsed="false">
      <c r="A47" s="4" t="n">
        <v>43</v>
      </c>
      <c r="B47" s="4" t="s">
        <v>148</v>
      </c>
      <c r="C47" s="4" t="s">
        <v>105</v>
      </c>
      <c r="D47" s="8" t="s">
        <v>55</v>
      </c>
      <c r="E47" s="6" t="s">
        <v>29</v>
      </c>
      <c r="F47" s="6" t="s">
        <v>149</v>
      </c>
      <c r="G47" s="6" t="s">
        <v>150</v>
      </c>
      <c r="H47" s="6" t="s">
        <v>151</v>
      </c>
      <c r="I47" s="4" t="s">
        <v>20</v>
      </c>
      <c r="J47" s="4" t="s">
        <v>21</v>
      </c>
      <c r="K47" s="4"/>
    </row>
    <row r="48" customFormat="false" ht="42" hidden="false" customHeight="true" outlineLevel="0" collapsed="false">
      <c r="A48" s="4" t="n">
        <v>44</v>
      </c>
      <c r="B48" s="4" t="s">
        <v>152</v>
      </c>
      <c r="C48" s="4" t="s">
        <v>153</v>
      </c>
      <c r="D48" s="9" t="s">
        <v>154</v>
      </c>
      <c r="E48" s="6" t="s">
        <v>29</v>
      </c>
      <c r="F48" s="6" t="s">
        <v>89</v>
      </c>
      <c r="G48" s="6" t="s">
        <v>155</v>
      </c>
      <c r="H48" s="6" t="s">
        <v>25</v>
      </c>
      <c r="I48" s="4" t="s">
        <v>48</v>
      </c>
      <c r="J48" s="4" t="s">
        <v>27</v>
      </c>
      <c r="K48" s="4"/>
    </row>
    <row r="49" customFormat="false" ht="42" hidden="false" customHeight="true" outlineLevel="0" collapsed="false">
      <c r="A49" s="4" t="n">
        <v>45</v>
      </c>
      <c r="B49" s="4" t="s">
        <v>156</v>
      </c>
      <c r="C49" s="4" t="s">
        <v>153</v>
      </c>
      <c r="D49" s="9" t="s">
        <v>154</v>
      </c>
      <c r="E49" s="6" t="s">
        <v>29</v>
      </c>
      <c r="F49" s="6" t="s">
        <v>99</v>
      </c>
      <c r="G49" s="6" t="s">
        <v>157</v>
      </c>
      <c r="H49" s="6" t="s">
        <v>25</v>
      </c>
      <c r="I49" s="4" t="s">
        <v>48</v>
      </c>
      <c r="J49" s="4" t="s">
        <v>21</v>
      </c>
      <c r="K49" s="4"/>
    </row>
    <row r="50" customFormat="false" ht="42" hidden="false" customHeight="true" outlineLevel="0" collapsed="false">
      <c r="A50" s="4" t="n">
        <v>46</v>
      </c>
      <c r="B50" s="4" t="s">
        <v>158</v>
      </c>
      <c r="C50" s="4" t="s">
        <v>153</v>
      </c>
      <c r="D50" s="9" t="s">
        <v>154</v>
      </c>
      <c r="E50" s="6" t="s">
        <v>38</v>
      </c>
      <c r="F50" s="6" t="s">
        <v>159</v>
      </c>
      <c r="G50" s="6" t="s">
        <v>160</v>
      </c>
      <c r="H50" s="6" t="s">
        <v>161</v>
      </c>
      <c r="I50" s="4" t="s">
        <v>48</v>
      </c>
      <c r="J50" s="4" t="s">
        <v>162</v>
      </c>
      <c r="K50" s="4"/>
    </row>
    <row r="51" customFormat="false" ht="42" hidden="false" customHeight="true" outlineLevel="0" collapsed="false">
      <c r="A51" s="4" t="n">
        <v>47</v>
      </c>
      <c r="B51" s="4" t="s">
        <v>163</v>
      </c>
      <c r="C51" s="4" t="s">
        <v>105</v>
      </c>
      <c r="D51" s="7" t="s">
        <v>43</v>
      </c>
      <c r="E51" s="6" t="s">
        <v>16</v>
      </c>
      <c r="F51" s="6" t="s">
        <v>17</v>
      </c>
      <c r="G51" s="6" t="s">
        <v>164</v>
      </c>
      <c r="H51" s="6" t="s">
        <v>165</v>
      </c>
      <c r="I51" s="4" t="s">
        <v>48</v>
      </c>
      <c r="J51" s="4" t="s">
        <v>27</v>
      </c>
      <c r="K51" s="4"/>
    </row>
    <row r="52" customFormat="false" ht="42" hidden="false" customHeight="true" outlineLevel="0" collapsed="false">
      <c r="A52" s="4" t="n">
        <v>48</v>
      </c>
      <c r="B52" s="4" t="s">
        <v>166</v>
      </c>
      <c r="C52" s="4" t="s">
        <v>105</v>
      </c>
      <c r="D52" s="8" t="s">
        <v>55</v>
      </c>
      <c r="E52" s="6" t="s">
        <v>29</v>
      </c>
      <c r="F52" s="6" t="s">
        <v>89</v>
      </c>
      <c r="G52" s="6" t="s">
        <v>167</v>
      </c>
      <c r="H52" s="6" t="s">
        <v>168</v>
      </c>
      <c r="I52" s="4" t="s">
        <v>20</v>
      </c>
      <c r="J52" s="4" t="s">
        <v>27</v>
      </c>
      <c r="K52" s="4"/>
    </row>
    <row r="53" customFormat="false" ht="42" hidden="false" customHeight="true" outlineLevel="0" collapsed="false">
      <c r="A53" s="4" t="n">
        <v>49</v>
      </c>
      <c r="B53" s="4" t="s">
        <v>169</v>
      </c>
      <c r="C53" s="4" t="s">
        <v>105</v>
      </c>
      <c r="D53" s="8" t="s">
        <v>55</v>
      </c>
      <c r="E53" s="6" t="s">
        <v>29</v>
      </c>
      <c r="F53" s="6" t="s">
        <v>89</v>
      </c>
      <c r="G53" s="6" t="s">
        <v>170</v>
      </c>
      <c r="H53" s="6" t="s">
        <v>171</v>
      </c>
      <c r="I53" s="4" t="s">
        <v>20</v>
      </c>
      <c r="J53" s="4" t="s">
        <v>49</v>
      </c>
      <c r="K53" s="4"/>
    </row>
    <row r="54" customFormat="false" ht="42" hidden="false" customHeight="true" outlineLevel="0" collapsed="false">
      <c r="A54" s="4" t="n">
        <v>50</v>
      </c>
      <c r="B54" s="4" t="s">
        <v>172</v>
      </c>
      <c r="C54" s="4" t="s">
        <v>105</v>
      </c>
      <c r="D54" s="8" t="s">
        <v>55</v>
      </c>
      <c r="E54" s="6" t="s">
        <v>29</v>
      </c>
      <c r="F54" s="6" t="s">
        <v>45</v>
      </c>
      <c r="G54" s="6" t="s">
        <v>173</v>
      </c>
      <c r="H54" s="6" t="s">
        <v>174</v>
      </c>
      <c r="I54" s="4" t="s">
        <v>48</v>
      </c>
      <c r="J54" s="4" t="s">
        <v>27</v>
      </c>
      <c r="K54" s="4"/>
    </row>
    <row r="55" customFormat="false" ht="42" hidden="false" customHeight="true" outlineLevel="0" collapsed="false">
      <c r="A55" s="4" t="n">
        <v>51</v>
      </c>
      <c r="B55" s="4" t="s">
        <v>175</v>
      </c>
      <c r="C55" s="4" t="s">
        <v>105</v>
      </c>
      <c r="D55" s="8" t="s">
        <v>55</v>
      </c>
      <c r="E55" s="6" t="s">
        <v>29</v>
      </c>
      <c r="F55" s="6" t="s">
        <v>17</v>
      </c>
      <c r="G55" s="6" t="s">
        <v>176</v>
      </c>
      <c r="H55" s="6" t="s">
        <v>177</v>
      </c>
      <c r="I55" s="4" t="s">
        <v>20</v>
      </c>
      <c r="J55" s="4" t="s">
        <v>21</v>
      </c>
      <c r="K55" s="4"/>
    </row>
    <row r="56" customFormat="false" ht="42" hidden="false" customHeight="true" outlineLevel="0" collapsed="false">
      <c r="A56" s="4" t="n">
        <v>52</v>
      </c>
      <c r="B56" s="4" t="s">
        <v>178</v>
      </c>
      <c r="C56" s="4" t="s">
        <v>105</v>
      </c>
      <c r="D56" s="8" t="s">
        <v>55</v>
      </c>
      <c r="E56" s="6" t="s">
        <v>29</v>
      </c>
      <c r="F56" s="6" t="s">
        <v>179</v>
      </c>
      <c r="G56" s="6" t="s">
        <v>180</v>
      </c>
      <c r="H56" s="6" t="s">
        <v>181</v>
      </c>
      <c r="I56" s="4" t="s">
        <v>20</v>
      </c>
      <c r="J56" s="4" t="s">
        <v>27</v>
      </c>
      <c r="K56" s="4"/>
    </row>
    <row r="57" customFormat="false" ht="42" hidden="false" customHeight="true" outlineLevel="0" collapsed="false">
      <c r="A57" s="4" t="n">
        <v>53</v>
      </c>
      <c r="B57" s="4" t="s">
        <v>182</v>
      </c>
      <c r="C57" s="4" t="s">
        <v>153</v>
      </c>
      <c r="D57" s="8" t="s">
        <v>55</v>
      </c>
      <c r="E57" s="6" t="s">
        <v>38</v>
      </c>
      <c r="F57" s="6" t="s">
        <v>26</v>
      </c>
      <c r="G57" s="6" t="s">
        <v>183</v>
      </c>
      <c r="H57" s="6" t="s">
        <v>184</v>
      </c>
      <c r="I57" s="4" t="s">
        <v>26</v>
      </c>
      <c r="J57" s="4" t="s">
        <v>27</v>
      </c>
      <c r="K57" s="4"/>
    </row>
    <row r="58" customFormat="false" ht="42" hidden="false" customHeight="true" outlineLevel="0" collapsed="false">
      <c r="A58" s="4" t="n">
        <v>54</v>
      </c>
      <c r="B58" s="4" t="s">
        <v>185</v>
      </c>
      <c r="C58" s="4" t="s">
        <v>153</v>
      </c>
      <c r="D58" s="9" t="s">
        <v>154</v>
      </c>
      <c r="E58" s="6" t="s">
        <v>38</v>
      </c>
      <c r="F58" s="6" t="s">
        <v>26</v>
      </c>
      <c r="G58" s="6" t="s">
        <v>186</v>
      </c>
      <c r="H58" s="6" t="s">
        <v>187</v>
      </c>
      <c r="I58" s="4" t="s">
        <v>188</v>
      </c>
      <c r="J58" s="4" t="s">
        <v>21</v>
      </c>
      <c r="K58" s="4"/>
    </row>
    <row r="59" customFormat="false" ht="42" hidden="false" customHeight="true" outlineLevel="0" collapsed="false">
      <c r="A59" s="4" t="n">
        <v>55</v>
      </c>
      <c r="B59" s="4" t="s">
        <v>189</v>
      </c>
      <c r="C59" s="10" t="s">
        <v>190</v>
      </c>
      <c r="D59" s="8" t="s">
        <v>55</v>
      </c>
      <c r="E59" s="6" t="s">
        <v>38</v>
      </c>
      <c r="F59" s="6" t="s">
        <v>77</v>
      </c>
      <c r="G59" s="6" t="s">
        <v>191</v>
      </c>
      <c r="H59" s="6" t="s">
        <v>192</v>
      </c>
      <c r="I59" s="4" t="s">
        <v>26</v>
      </c>
      <c r="J59" s="4" t="s">
        <v>49</v>
      </c>
      <c r="K59" s="4"/>
    </row>
    <row r="60" customFormat="false" ht="15" hidden="false" customHeight="false" outlineLevel="0" collapsed="false">
      <c r="A60" s="11" t="s">
        <v>193</v>
      </c>
      <c r="B60" s="12" t="n">
        <f aca="false">COUNTA(B5:B59)</f>
        <v>55</v>
      </c>
    </row>
    <row r="61" customFormat="false" ht="14.15" hidden="false" customHeight="false" outlineLevel="0" collapsed="false">
      <c r="A61" s="13" t="s">
        <v>194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customFormat="false" ht="15" hidden="false" customHeight="false" outlineLevel="0" collapsed="false">
      <c r="A62" s="14"/>
      <c r="B62" s="14" t="s">
        <v>195</v>
      </c>
      <c r="C62" s="14" t="s">
        <v>196</v>
      </c>
      <c r="D62" s="14" t="s">
        <v>196</v>
      </c>
      <c r="E62" s="15"/>
      <c r="F62" s="15" t="s">
        <v>197</v>
      </c>
      <c r="G62" s="15" t="s">
        <v>198</v>
      </c>
      <c r="H62" s="16" t="s">
        <v>199</v>
      </c>
      <c r="I62" s="17"/>
      <c r="J62" s="17"/>
      <c r="K62" s="17"/>
    </row>
    <row r="63" customFormat="false" ht="15" hidden="false" customHeight="false" outlineLevel="0" collapsed="false">
      <c r="A63" s="14"/>
      <c r="B63" s="14" t="s">
        <v>200</v>
      </c>
      <c r="C63" s="14" t="s">
        <v>196</v>
      </c>
      <c r="D63" s="14" t="s">
        <v>196</v>
      </c>
      <c r="E63" s="15"/>
      <c r="F63" s="15" t="s">
        <v>201</v>
      </c>
      <c r="G63" s="15" t="s">
        <v>202</v>
      </c>
      <c r="H63" s="16" t="s">
        <v>203</v>
      </c>
      <c r="I63" s="17"/>
      <c r="J63" s="17"/>
      <c r="K63" s="17"/>
    </row>
    <row r="64" customFormat="false" ht="15" hidden="false" customHeight="false" outlineLevel="0" collapsed="false">
      <c r="A64" s="14"/>
      <c r="B64" s="14" t="s">
        <v>204</v>
      </c>
      <c r="C64" s="14" t="s">
        <v>196</v>
      </c>
      <c r="D64" s="14" t="s">
        <v>196</v>
      </c>
      <c r="E64" s="15"/>
      <c r="F64" s="15" t="s">
        <v>205</v>
      </c>
      <c r="G64" s="15" t="s">
        <v>206</v>
      </c>
      <c r="H64" s="16" t="s">
        <v>207</v>
      </c>
      <c r="I64" s="17"/>
      <c r="J64" s="17"/>
      <c r="K64" s="17"/>
    </row>
  </sheetData>
  <autoFilter ref="A4:K59"/>
  <mergeCells count="3">
    <mergeCell ref="A1:K1"/>
    <mergeCell ref="A2:K2"/>
    <mergeCell ref="A61:K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6" min="3" style="0" width="10"/>
  </cols>
  <sheetData>
    <row r="1" customFormat="false" ht="15" hidden="false" customHeight="false" outlineLevel="0" collapsed="false">
      <c r="A1" s="1" t="s">
        <v>208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4</v>
      </c>
      <c r="B3" s="3" t="s">
        <v>209</v>
      </c>
      <c r="C3" s="3" t="s">
        <v>15</v>
      </c>
      <c r="D3" s="3" t="s">
        <v>43</v>
      </c>
      <c r="E3" s="3" t="s">
        <v>55</v>
      </c>
      <c r="F3" s="3" t="s">
        <v>193</v>
      </c>
    </row>
    <row r="4" customFormat="false" ht="15" hidden="false" customHeight="false" outlineLevel="0" collapsed="false">
      <c r="A4" s="18" t="s">
        <v>210</v>
      </c>
      <c r="B4" s="4" t="s">
        <v>211</v>
      </c>
      <c r="C4" s="5" t="n">
        <f aca="false">COUNTIFS('Action Items'!C5:C59,"1",'Action Items'!D5:D59,"P0")</f>
        <v>5</v>
      </c>
      <c r="D4" s="7" t="n">
        <f aca="false">COUNTIFS('Action Items'!C5:C59,"1",'Action Items'!D5:D59,"P1")</f>
        <v>2</v>
      </c>
      <c r="E4" s="8" t="n">
        <f aca="false">COUNTIFS('Action Items'!C5:C59,"1",'Action Items'!D5:D59,"P2")</f>
        <v>19</v>
      </c>
      <c r="F4" s="18" t="n">
        <f aca="false">COUNTIF('Action Items'!C5:C59,"1")</f>
        <v>26</v>
      </c>
    </row>
    <row r="5" customFormat="false" ht="15" hidden="false" customHeight="false" outlineLevel="0" collapsed="false">
      <c r="A5" s="18" t="s">
        <v>212</v>
      </c>
      <c r="B5" s="4" t="s">
        <v>213</v>
      </c>
      <c r="C5" s="5" t="n">
        <f aca="false">COUNTIFS('Action Items'!C5:C59,"2",'Action Items'!D5:D59,"P0")</f>
        <v>0</v>
      </c>
      <c r="D5" s="7" t="n">
        <f aca="false">COUNTIFS('Action Items'!C5:C59,"2",'Action Items'!D5:D59,"P1")</f>
        <v>13</v>
      </c>
      <c r="E5" s="8" t="n">
        <f aca="false">COUNTIFS('Action Items'!C5:C59,"2",'Action Items'!D5:D59,"P2")</f>
        <v>10</v>
      </c>
      <c r="F5" s="18" t="n">
        <f aca="false">COUNTIF('Action Items'!C5:C59,"2")</f>
        <v>23</v>
      </c>
    </row>
    <row r="6" customFormat="false" ht="15" hidden="false" customHeight="false" outlineLevel="0" collapsed="false">
      <c r="A6" s="18" t="s">
        <v>214</v>
      </c>
      <c r="B6" s="4" t="s">
        <v>215</v>
      </c>
      <c r="C6" s="5" t="n">
        <f aca="false">COUNTIFS('Action Items'!C5:C59,"3",'Action Items'!D5:D59,"P0")</f>
        <v>0</v>
      </c>
      <c r="D6" s="7" t="n">
        <f aca="false">COUNTIFS('Action Items'!C5:C59,"3",'Action Items'!D5:D59,"P1")</f>
        <v>0</v>
      </c>
      <c r="E6" s="8" t="n">
        <f aca="false">COUNTIFS('Action Items'!C5:C59,"3",'Action Items'!D5:D59,"P2")+COUNTIFS('Action Items'!C5:C59,"3",'Action Items'!D5:D59,"P3")</f>
        <v>5</v>
      </c>
      <c r="F6" s="18" t="n">
        <f aca="false">COUNTIF('Action Items'!C5:C59,"3")</f>
        <v>5</v>
      </c>
    </row>
    <row r="7" customFormat="false" ht="15" hidden="false" customHeight="false" outlineLevel="0" collapsed="false">
      <c r="A7" s="18" t="s">
        <v>193</v>
      </c>
      <c r="B7" s="4"/>
      <c r="C7" s="18" t="n">
        <f aca="false">SUM(C4:C6)</f>
        <v>5</v>
      </c>
      <c r="D7" s="18" t="n">
        <f aca="false">SUM(D4:D6)</f>
        <v>15</v>
      </c>
      <c r="E7" s="18" t="n">
        <f aca="false">SUM(E4:E6)</f>
        <v>34</v>
      </c>
      <c r="F7" s="18" t="n">
        <f aca="false">SUM(F4:F6)</f>
        <v>54</v>
      </c>
    </row>
    <row r="9" customFormat="false" ht="14.15" hidden="false" customHeight="false" outlineLevel="0" collapsed="false">
      <c r="A9" s="19" t="s">
        <v>216</v>
      </c>
      <c r="B9" s="19"/>
      <c r="C9" s="19"/>
      <c r="D9" s="19"/>
      <c r="E9" s="19"/>
      <c r="F9" s="19"/>
    </row>
    <row r="10" customFormat="false" ht="23.85" hidden="false" customHeight="true" outlineLevel="0" collapsed="false">
      <c r="A10" s="6" t="s">
        <v>217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6" t="s">
        <v>218</v>
      </c>
      <c r="B11" s="6"/>
      <c r="C11" s="6"/>
      <c r="D11" s="6"/>
      <c r="E11" s="6"/>
      <c r="F11" s="6"/>
    </row>
    <row r="12" customFormat="false" ht="23.85" hidden="false" customHeight="true" outlineLevel="0" collapsed="false">
      <c r="A12" s="6" t="s">
        <v>219</v>
      </c>
      <c r="B12" s="6"/>
      <c r="C12" s="6"/>
      <c r="D12" s="6"/>
      <c r="E12" s="6"/>
      <c r="F12" s="6"/>
    </row>
    <row r="14" customFormat="false" ht="14.15" hidden="false" customHeight="false" outlineLevel="0" collapsed="false">
      <c r="A14" s="19" t="s">
        <v>220</v>
      </c>
      <c r="B14" s="19"/>
      <c r="C14" s="19"/>
      <c r="D14" s="19"/>
      <c r="E14" s="19"/>
      <c r="F14" s="19"/>
    </row>
    <row r="15" customFormat="false" ht="23.85" hidden="false" customHeight="true" outlineLevel="0" collapsed="false">
      <c r="A15" s="6" t="s">
        <v>221</v>
      </c>
      <c r="B15" s="6"/>
      <c r="C15" s="6"/>
      <c r="D15" s="6"/>
      <c r="E15" s="6"/>
      <c r="F15" s="6"/>
    </row>
    <row r="16" customFormat="false" ht="23.85" hidden="false" customHeight="true" outlineLevel="0" collapsed="false">
      <c r="A16" s="6" t="s">
        <v>222</v>
      </c>
      <c r="B16" s="6"/>
      <c r="C16" s="6"/>
      <c r="D16" s="6"/>
      <c r="E16" s="6"/>
      <c r="F16" s="6"/>
    </row>
    <row r="18" customFormat="false" ht="14.15" hidden="false" customHeight="false" outlineLevel="0" collapsed="false">
      <c r="A18" s="19" t="s">
        <v>223</v>
      </c>
      <c r="B18" s="19"/>
      <c r="C18" s="19"/>
      <c r="D18" s="19"/>
      <c r="E18" s="19"/>
      <c r="F18" s="19"/>
    </row>
    <row r="19" customFormat="false" ht="23.85" hidden="false" customHeight="true" outlineLevel="0" collapsed="false">
      <c r="A19" s="6" t="s">
        <v>224</v>
      </c>
      <c r="B19" s="6"/>
      <c r="C19" s="6"/>
      <c r="D19" s="6"/>
      <c r="E19" s="6"/>
      <c r="F19" s="6"/>
    </row>
    <row r="20" customFormat="false" ht="15" hidden="false" customHeight="true" outlineLevel="0" collapsed="false">
      <c r="A20" s="6" t="s">
        <v>225</v>
      </c>
      <c r="B20" s="6"/>
      <c r="C20" s="6"/>
      <c r="D20" s="6"/>
      <c r="E20" s="6"/>
      <c r="F20" s="6"/>
    </row>
  </sheetData>
  <mergeCells count="11">
    <mergeCell ref="A1:F1"/>
    <mergeCell ref="A9:F9"/>
    <mergeCell ref="A10:F10"/>
    <mergeCell ref="A11:F11"/>
    <mergeCell ref="A12:F12"/>
    <mergeCell ref="A14:F14"/>
    <mergeCell ref="A15:F15"/>
    <mergeCell ref="A16:F16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42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 t="s">
        <v>226</v>
      </c>
      <c r="B1" s="1"/>
      <c r="C1" s="1"/>
      <c r="D1" s="1"/>
    </row>
    <row r="3" customFormat="false" ht="15" hidden="false" customHeight="false" outlineLevel="0" collapsed="false">
      <c r="A3" s="3" t="s">
        <v>227</v>
      </c>
      <c r="B3" s="3" t="s">
        <v>228</v>
      </c>
      <c r="C3" s="3" t="s">
        <v>229</v>
      </c>
      <c r="D3" s="3" t="s">
        <v>230</v>
      </c>
    </row>
    <row r="4" customFormat="false" ht="48" hidden="false" customHeight="true" outlineLevel="0" collapsed="false">
      <c r="A4" s="20" t="s">
        <v>231</v>
      </c>
      <c r="B4" s="6" t="s">
        <v>232</v>
      </c>
      <c r="C4" s="6" t="s">
        <v>233</v>
      </c>
      <c r="D4" s="6" t="s">
        <v>234</v>
      </c>
    </row>
    <row r="5" customFormat="false" ht="48" hidden="false" customHeight="true" outlineLevel="0" collapsed="false">
      <c r="A5" s="20" t="s">
        <v>235</v>
      </c>
      <c r="B5" s="6" t="s">
        <v>236</v>
      </c>
      <c r="C5" s="6" t="s">
        <v>237</v>
      </c>
      <c r="D5" s="6" t="s">
        <v>238</v>
      </c>
    </row>
    <row r="6" customFormat="false" ht="48" hidden="false" customHeight="true" outlineLevel="0" collapsed="false">
      <c r="A6" s="20" t="s">
        <v>239</v>
      </c>
      <c r="B6" s="6" t="s">
        <v>240</v>
      </c>
      <c r="C6" s="6" t="s">
        <v>241</v>
      </c>
      <c r="D6" s="6" t="s">
        <v>242</v>
      </c>
    </row>
    <row r="7" customFormat="false" ht="48" hidden="false" customHeight="true" outlineLevel="0" collapsed="false">
      <c r="A7" s="20" t="s">
        <v>243</v>
      </c>
      <c r="B7" s="6" t="s">
        <v>244</v>
      </c>
      <c r="C7" s="6" t="s">
        <v>245</v>
      </c>
      <c r="D7" s="6" t="s">
        <v>246</v>
      </c>
    </row>
    <row r="8" customFormat="false" ht="48" hidden="false" customHeight="true" outlineLevel="0" collapsed="false">
      <c r="A8" s="20" t="s">
        <v>247</v>
      </c>
      <c r="B8" s="6" t="s">
        <v>248</v>
      </c>
      <c r="C8" s="6" t="s">
        <v>249</v>
      </c>
      <c r="D8" s="6" t="s">
        <v>250</v>
      </c>
    </row>
    <row r="9" customFormat="false" ht="48" hidden="false" customHeight="true" outlineLevel="0" collapsed="false">
      <c r="A9" s="20" t="s">
        <v>251</v>
      </c>
      <c r="B9" s="6" t="s">
        <v>191</v>
      </c>
      <c r="C9" s="6" t="s">
        <v>252</v>
      </c>
      <c r="D9" s="6" t="s">
        <v>253</v>
      </c>
    </row>
    <row r="10" customFormat="false" ht="48" hidden="false" customHeight="true" outlineLevel="0" collapsed="false">
      <c r="A10" s="20" t="s">
        <v>254</v>
      </c>
      <c r="B10" s="6" t="s">
        <v>255</v>
      </c>
      <c r="C10" s="6" t="s">
        <v>256</v>
      </c>
      <c r="D10" s="6" t="s">
        <v>257</v>
      </c>
    </row>
    <row r="11" customFormat="false" ht="48" hidden="false" customHeight="true" outlineLevel="0" collapsed="false">
      <c r="A11" s="20" t="s">
        <v>258</v>
      </c>
      <c r="B11" s="6" t="s">
        <v>259</v>
      </c>
      <c r="C11" s="6" t="s">
        <v>260</v>
      </c>
      <c r="D11" s="6" t="s">
        <v>261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2026-04-06T07:26:24Z</dcterms:created>
  <dc:creator>openpyxl</dc:creator>
  <dc:description/>
  <dc:language>en-US</dc:language>
  <cp:lastModifiedBy/>
  <dcterms:modified xsi:type="dcterms:W3CDTF">2026-04-06T07:26:24Z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