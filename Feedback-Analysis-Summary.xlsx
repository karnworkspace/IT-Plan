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Items" sheetId="1" state="visible" r:id="rId3"/>
    <sheet name="Priority Matrix" sheetId="2" state="visible" r:id="rId4"/>
    <sheet name="Group Summary" sheetId="3" state="visible" r:id="rId5"/>
    <sheet name="Sprint Plan" sheetId="4" state="visible" r:id="rId6"/>
    <sheet name="Implementation Guide" sheetId="5" state="visible" r:id="rId7"/>
  </sheets>
  <definedNames>
    <definedName function="false" hidden="true" localSheetId="0" name="_xlnm._FilterDatabase" vbProcedure="false">'All Items'!$A$3:$H$58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<sst xmlns="http://schemas.openxmlformats.org/spreadsheetml/2006/main" count="398" uniqueCount="158">
  <si>
    <t xml:space="preserve">Feedback Analysis — 15 Slides, 55 Items</t>
  </si>
  <si>
    <t xml:space="preserve">No.</t>
  </si>
  <si>
    <t xml:space="preserve">Group</t>
  </si>
  <si>
    <t xml:space="preserve">Issue / Feedback</t>
  </si>
  <si>
    <t xml:space="preserve">Slide</t>
  </si>
  <si>
    <t xml:space="preserve">Priority</t>
  </si>
  <si>
    <t xml:space="preserve">Status</t>
  </si>
  <si>
    <t xml:space="preserve">Assignee</t>
  </si>
  <si>
    <t xml:space="preserve">Comment</t>
  </si>
  <si>
    <t xml:space="preserve">UI/UX</t>
  </si>
  <si>
    <t xml:space="preserve">Title "Frontend" → เปลี่ยนเป็น "IT Project System"</t>
  </si>
  <si>
    <t xml:space="preserve">1</t>
  </si>
  <si>
    <t xml:space="preserve">P2</t>
  </si>
  <si>
    <t xml:space="preserve">Pending</t>
  </si>
  <si>
    <t xml:space="preserve">Logo → เปลี่ยนเป็นโลโก้เสนา</t>
  </si>
  <si>
    <t xml:space="preserve">2</t>
  </si>
  <si>
    <t xml:space="preserve">"Welcome back" → เปลี่ยนเป็น "Dashboard"</t>
  </si>
  <si>
    <t xml:space="preserve">Quick Access + Team Activity ล้นจอขวา → ย้ายลงล่าง</t>
  </si>
  <si>
    <t xml:space="preserve">Sidebar ย่อ/ขยายได้ (&lt;&lt;, &gt;&gt;)</t>
  </si>
  <si>
    <t xml:space="preserve">3</t>
  </si>
  <si>
    <t xml:space="preserve">P1</t>
  </si>
  <si>
    <t xml:space="preserve">Stat boxes ไม่ใส่สี, ตัวเลขตัวหนาสีดำ</t>
  </si>
  <si>
    <t xml:space="preserve">3-4</t>
  </si>
  <si>
    <t xml:space="preserve">ย้าย Daily Updates ขึ้นต่อจาก Description + เส้นคั่น</t>
  </si>
  <si>
    <t xml:space="preserve">10</t>
  </si>
  <si>
    <t xml:space="preserve">ลบ Progress (%) + Current Status ออก</t>
  </si>
  <si>
    <t xml:space="preserve">11</t>
  </si>
  <si>
    <t xml:space="preserve">Gantt: Time Remaining ไม่หมุน, กล่อง 1 บรรทัด</t>
  </si>
  <si>
    <t xml:space="preserve">13</t>
  </si>
  <si>
    <t xml:space="preserve">Calendar: ตัด 2 กล่อง stat</t>
  </si>
  <si>
    <t xml:space="preserve">14</t>
  </si>
  <si>
    <t xml:space="preserve">Dashboard stat cards — เรียงใหม่ให้เหมาะกับ role</t>
  </si>
  <si>
    <t xml:space="preserve">Task detail — จัดวาง section ใหม่ให้อ่านง่าย</t>
  </si>
  <si>
    <t xml:space="preserve">Font size / spacing ปรับให้สม่ำเสมอทั้งระบบ</t>
  </si>
  <si>
    <t xml:space="preserve">Breadcrumb navigation ปรับให้ชัดเจน</t>
  </si>
  <si>
    <t xml:space="preserve">5</t>
  </si>
  <si>
    <t xml:space="preserve">Empty state ทำ placeholder ให้สวยงาม</t>
  </si>
  <si>
    <t xml:space="preserve">7</t>
  </si>
  <si>
    <t xml:space="preserve">Loading skeleton แทน spinner</t>
  </si>
  <si>
    <t xml:space="preserve">Mobile-friendly sidebar menu</t>
  </si>
  <si>
    <t xml:space="preserve">P3</t>
  </si>
  <si>
    <t xml:space="preserve">Dark mode (optional)</t>
  </si>
  <si>
    <t xml:space="preserve">—</t>
  </si>
  <si>
    <t xml:space="preserve">Drag reorder columns ใน table</t>
  </si>
  <si>
    <t xml:space="preserve">9</t>
  </si>
  <si>
    <t xml:space="preserve">Role &amp; Permission</t>
  </si>
  <si>
    <t xml:space="preserve">Dashboard ทุกคนเห็นเท่ากัน → ต้องแบ่งตาม Role</t>
  </si>
  <si>
    <t xml:space="preserve">P0</t>
  </si>
  <si>
    <t xml:space="preserve">Tasks ทุกคนเห็นเท่ากัน → filter ตาม Role</t>
  </si>
  <si>
    <t xml:space="preserve">Manager สร้าง project + tag member</t>
  </si>
  <si>
    <t xml:space="preserve">15</t>
  </si>
  <si>
    <t xml:space="preserve">Member สร้าง Task ได้เอง</t>
  </si>
  <si>
    <t xml:space="preserve">Admin จัดการ user + permission</t>
  </si>
  <si>
    <t xml:space="preserve">New Feature</t>
  </si>
  <si>
    <t xml:space="preserve">Forgot Password 404 → ลบหรือทำจริง (ส่ง email)</t>
  </si>
  <si>
    <t xml:space="preserve">เพิ่ม "My Projects" page — เห็นเฉพาะ project ตัวเอง</t>
  </si>
  <si>
    <t xml:space="preserve">List View (table) ใน My Tasks</t>
  </si>
  <si>
    <t xml:space="preserve">Sorting + Multi-filter ใน Task list</t>
  </si>
  <si>
    <t xml:space="preserve">Mandatory comment เมื่อย้าย status</t>
  </si>
  <si>
    <t xml:space="preserve">8</t>
  </si>
  <si>
    <t xml:space="preserve">Status change History log</t>
  </si>
  <si>
    <t xml:space="preserve">Hold/Cancelled ต้อง logic คำนวณเวลา project</t>
  </si>
  <si>
    <t xml:space="preserve">Subtask: เพิ่ม start/due date</t>
  </si>
  <si>
    <t xml:space="preserve">12</t>
  </si>
  <si>
    <t xml:space="preserve">Subtask: เพิ่ม assignee</t>
  </si>
  <si>
    <t xml:space="preserve">Gantt drag ขยับวัน → auto update</t>
  </si>
  <si>
    <t xml:space="preserve">Gantt hover 3 last activity</t>
  </si>
  <si>
    <t xml:space="preserve">Calendar: สีตามสถานะ</t>
  </si>
  <si>
    <t xml:space="preserve">Calendar: filter</t>
  </si>
  <si>
    <t xml:space="preserve">Calendar: email Zimbra integration</t>
  </si>
  <si>
    <t xml:space="preserve">แนบไฟล์ ≥1, รวม ≤20MB ต่อ Notes</t>
  </si>
  <si>
    <t xml:space="preserve">Notification system (in-app)</t>
  </si>
  <si>
    <t xml:space="preserve">Export report to PDF</t>
  </si>
  <si>
    <t xml:space="preserve">Activity feed / audit trail</t>
  </si>
  <si>
    <t xml:space="preserve">Data/Architecture</t>
  </si>
  <si>
    <t xml:space="preserve">ขาด category "Infrastructure and Network"</t>
  </si>
  <si>
    <t xml:space="preserve">4</t>
  </si>
  <si>
    <t xml:space="preserve">แยก Project vs Internal project (projectType)</t>
  </si>
  <si>
    <t xml:space="preserve">Responsive web: PC, Tablet, iPad</t>
  </si>
  <si>
    <t xml:space="preserve">Database indexing สำหรับ query performance</t>
  </si>
  <si>
    <t xml:space="preserve">API rate limiting + error handling</t>
  </si>
  <si>
    <t xml:space="preserve">Tooltip / help text สำหรับ field สำคัญ</t>
  </si>
  <si>
    <t xml:space="preserve">Search global (project + task)</t>
  </si>
  <si>
    <t xml:space="preserve">Dashboard summary chart (pie/bar)</t>
  </si>
  <si>
    <t xml:space="preserve">Role-based menu visibility</t>
  </si>
  <si>
    <t xml:space="preserve">Bulk action — เลือก task หลายตัวเปลี่ยน status</t>
  </si>
  <si>
    <t xml:space="preserve">Due date reminder / overdue highlight</t>
  </si>
  <si>
    <t xml:space="preserve">Backup strategy + data retention policy</t>
  </si>
  <si>
    <t xml:space="preserve">Logging / monitoring (production)</t>
  </si>
  <si>
    <t xml:space="preserve">Total</t>
  </si>
  <si>
    <t xml:space="preserve">Priority Matrix</t>
  </si>
  <si>
    <t xml:space="preserve">Level</t>
  </si>
  <si>
    <t xml:space="preserve">Items Count</t>
  </si>
  <si>
    <t xml:space="preserve">ตัวอย่าง Key Issues</t>
  </si>
  <si>
    <t xml:space="preserve">Target Sprint</t>
  </si>
  <si>
    <t xml:space="preserve">Critical</t>
  </si>
  <si>
    <t xml:space="preserve">Role-based visibility, Mandatory status comment + log, แยก Project type</t>
  </si>
  <si>
    <t xml:space="preserve">Sprint 1 (Week 1-2)</t>
  </si>
  <si>
    <t xml:space="preserve">High</t>
  </si>
  <si>
    <t xml:space="preserve">My Projects page, List View + filter, Subtask dates/assignee, Sidebar collapse</t>
  </si>
  <si>
    <t xml:space="preserve">Sprint 2 (Week 3-4)</t>
  </si>
  <si>
    <t xml:space="preserve">Medium</t>
  </si>
  <si>
    <t xml:space="preserve">Text/label/สี changes, ลบ Progress %, แนบไฟล์, Calendar filter</t>
  </si>
  <si>
    <t xml:space="preserve">Sprint 1-3</t>
  </si>
  <si>
    <t xml:space="preserve">Low</t>
  </si>
  <si>
    <t xml:space="preserve">Gantt drag, Zimbra email, Responsive tablet, Drag reorder columns</t>
  </si>
  <si>
    <t xml:space="preserve">Sprint 3 (Week 5+)</t>
  </si>
  <si>
    <t xml:space="preserve">Summary by Group</t>
  </si>
  <si>
    <t xml:space="preserve">Sprint Plan</t>
  </si>
  <si>
    <t xml:space="preserve">Sprint</t>
  </si>
  <si>
    <t xml:space="preserve">ระยะเวลา</t>
  </si>
  <si>
    <t xml:space="preserve">งานหลัก</t>
  </si>
  <si>
    <t xml:space="preserve">หมายเหตุ</t>
  </si>
  <si>
    <t xml:space="preserve">Sprint 1</t>
  </si>
  <si>
    <t xml:space="preserve">Week 1-2</t>
  </si>
  <si>
    <t xml:space="preserve">P0 + P2 Quick Wins</t>
  </si>
  <si>
    <t xml:space="preserve">Role-based visibility (Dashboard/Tasks)
Mandatory comment on status change + History log
แยก Project vs Internal project
Text/label/CSS quick fixes</t>
  </si>
  <si>
    <t xml:space="preserve">Sprint 2</t>
  </si>
  <si>
    <t xml:space="preserve">Week 3-4</t>
  </si>
  <si>
    <t xml:space="preserve">P1 ทั้งหมด</t>
  </si>
  <si>
    <t xml:space="preserve">My Projects page
List View + sorting + multi-filter
Sidebar collapse (&lt;&lt;, &gt;&gt;)
Subtask start/due date + assignee
Admin permission management</t>
  </si>
  <si>
    <t xml:space="preserve">Sprint 3</t>
  </si>
  <si>
    <t xml:space="preserve">Week 5+</t>
  </si>
  <si>
    <t xml:space="preserve">P2 ที่เหลือ + P3</t>
  </si>
  <si>
    <t xml:space="preserve">Gantt drag → auto update
Calendar สีตามสถานะ + filter
Zimbra email integration
Responsive (PC, Tablet, iPad)
แนบไฟล์ + Notification + Export PDF</t>
  </si>
  <si>
    <t xml:space="preserve">แนวทางแก้ไข — ไฟล์ที่ต้องแก้</t>
  </si>
  <si>
    <t xml:space="preserve">Feature</t>
  </si>
  <si>
    <t xml:space="preserve">File / Path</t>
  </si>
  <si>
    <t xml:space="preserve">Action</t>
  </si>
  <si>
    <t xml:space="preserve">Role-based visibility</t>
  </si>
  <si>
    <t xml:space="preserve">backend/src/services/project.service.ts</t>
  </si>
  <si>
    <t xml:space="preserve">filter by role</t>
  </si>
  <si>
    <t xml:space="preserve">backend/src/services/task.service.ts</t>
  </si>
  <si>
    <t xml:space="preserve">frontend/src/pages/dashboard/DashboardPage.tsx</t>
  </si>
  <si>
    <t xml:space="preserve">stats ตาม user role</t>
  </si>
  <si>
    <t xml:space="preserve">Mandatory comment on status change</t>
  </si>
  <si>
    <t xml:space="preserve">backend/prisma/schema.prisma</t>
  </si>
  <si>
    <t xml:space="preserve">เพิ่ม StatusChangeLog model</t>
  </si>
  <si>
    <t xml:space="preserve">validate note required</t>
  </si>
  <si>
    <t xml:space="preserve">frontend/src/pages/task/MyTasksPage.tsx</t>
  </si>
  <si>
    <t xml:space="preserve">popup ให้กรอก note</t>
  </si>
  <si>
    <t xml:space="preserve">frontend/src/pages/task/TaskDetailModal.tsx</t>
  </si>
  <si>
    <t xml:space="preserve">Project vs Internal</t>
  </si>
  <si>
    <t xml:space="preserve">เพิ่ม projectType field</t>
  </si>
  <si>
    <t xml:space="preserve">frontend/src/pages/project/ProjectsPage.tsx</t>
  </si>
  <si>
    <t xml:space="preserve">tab/filter แยก type</t>
  </si>
  <si>
    <t xml:space="preserve">My Projects page</t>
  </si>
  <si>
    <t xml:space="preserve">frontend/src/pages/project/MyProjectsPage.tsx</t>
  </si>
  <si>
    <t xml:space="preserve">สร้างใหม่</t>
  </si>
  <si>
    <t xml:space="preserve">backend/src/routes/project.routes.ts</t>
  </si>
  <si>
    <t xml:space="preserve">GET /projects/my</t>
  </si>
  <si>
    <t xml:space="preserve">List View + Filter</t>
  </si>
  <si>
    <t xml:space="preserve">toggle Board/List + &lt;Table&gt; + filter panel</t>
  </si>
  <si>
    <t xml:space="preserve">Sidebar collapse</t>
  </si>
  <si>
    <t xml:space="preserve">frontend/src/components/layout/Sidebar.tsx</t>
  </si>
  <si>
    <t xml:space="preserve">เพิ่ม &lt;&lt;, &gt;&gt; toggle</t>
  </si>
  <si>
    <t xml:space="preserve">Subtask dates/assignee</t>
  </si>
  <si>
    <t xml:space="preserve">เพิ่ม startDate, dueDate, assigneeId ใน Subtask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</si>
</sst>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C6EFCE"/>
        <bgColor rgb="FFDDEBF7"/>
      </patternFill>
    </fill>
    <fill>
      <patternFill patternType="solid">
        <fgColor rgb="FFFFE699"/>
        <bgColor rgb="FFFFFFCC"/>
      </patternFill>
    </fill>
    <fill>
      <patternFill patternType="solid">
        <fgColor rgb="FFDDEBF7"/>
        <bgColor rgb="FFCCFFFF"/>
      </patternFill>
    </fill>
    <fill>
      <patternFill patternType="solid">
        <fgColor rgb="FFFFC7CE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55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n">
        <v>1</v>
      </c>
      <c r="B4" s="4" t="s">
        <v>9</v>
      </c>
      <c r="C4" s="4" t="s">
        <v>10</v>
      </c>
      <c r="D4" s="3" t="s">
        <v>11</v>
      </c>
      <c r="E4" s="5" t="s">
        <v>12</v>
      </c>
      <c r="F4" s="3" t="s">
        <v>13</v>
      </c>
      <c r="G4" s="4"/>
      <c r="H4" s="4"/>
    </row>
    <row r="5" customFormat="false" ht="15" hidden="false" customHeight="false" outlineLevel="0" collapsed="false">
      <c r="A5" s="3" t="n">
        <v>2</v>
      </c>
      <c r="B5" s="4" t="s">
        <v>9</v>
      </c>
      <c r="C5" s="4" t="s">
        <v>14</v>
      </c>
      <c r="D5" s="3" t="s">
        <v>15</v>
      </c>
      <c r="E5" s="5" t="s">
        <v>12</v>
      </c>
      <c r="F5" s="3" t="s">
        <v>13</v>
      </c>
      <c r="G5" s="4"/>
      <c r="H5" s="4"/>
    </row>
    <row r="6" customFormat="false" ht="15" hidden="false" customHeight="false" outlineLevel="0" collapsed="false">
      <c r="A6" s="3" t="n">
        <v>3</v>
      </c>
      <c r="B6" s="4" t="s">
        <v>9</v>
      </c>
      <c r="C6" s="4" t="s">
        <v>16</v>
      </c>
      <c r="D6" s="3" t="s">
        <v>15</v>
      </c>
      <c r="E6" s="5" t="s">
        <v>12</v>
      </c>
      <c r="F6" s="3" t="s">
        <v>13</v>
      </c>
      <c r="G6" s="4"/>
      <c r="H6" s="4"/>
    </row>
    <row r="7" customFormat="false" ht="15" hidden="false" customHeight="false" outlineLevel="0" collapsed="false">
      <c r="A7" s="3" t="n">
        <v>4</v>
      </c>
      <c r="B7" s="4" t="s">
        <v>9</v>
      </c>
      <c r="C7" s="4" t="s">
        <v>17</v>
      </c>
      <c r="D7" s="3" t="s">
        <v>15</v>
      </c>
      <c r="E7" s="5" t="s">
        <v>12</v>
      </c>
      <c r="F7" s="3" t="s">
        <v>13</v>
      </c>
      <c r="G7" s="4"/>
      <c r="H7" s="4"/>
    </row>
    <row r="8" customFormat="false" ht="15" hidden="false" customHeight="false" outlineLevel="0" collapsed="false">
      <c r="A8" s="3" t="n">
        <v>5</v>
      </c>
      <c r="B8" s="4" t="s">
        <v>9</v>
      </c>
      <c r="C8" s="4" t="s">
        <v>18</v>
      </c>
      <c r="D8" s="3" t="s">
        <v>19</v>
      </c>
      <c r="E8" s="6" t="s">
        <v>20</v>
      </c>
      <c r="F8" s="3" t="s">
        <v>13</v>
      </c>
      <c r="G8" s="4"/>
      <c r="H8" s="4"/>
    </row>
    <row r="9" customFormat="false" ht="15" hidden="false" customHeight="false" outlineLevel="0" collapsed="false">
      <c r="A9" s="3" t="n">
        <v>6</v>
      </c>
      <c r="B9" s="4" t="s">
        <v>9</v>
      </c>
      <c r="C9" s="4" t="s">
        <v>21</v>
      </c>
      <c r="D9" s="3" t="s">
        <v>22</v>
      </c>
      <c r="E9" s="5" t="s">
        <v>12</v>
      </c>
      <c r="F9" s="3" t="s">
        <v>13</v>
      </c>
      <c r="G9" s="4"/>
      <c r="H9" s="4"/>
    </row>
    <row r="10" customFormat="false" ht="15" hidden="false" customHeight="false" outlineLevel="0" collapsed="false">
      <c r="A10" s="3" t="n">
        <v>7</v>
      </c>
      <c r="B10" s="4" t="s">
        <v>9</v>
      </c>
      <c r="C10" s="4" t="s">
        <v>23</v>
      </c>
      <c r="D10" s="3" t="s">
        <v>24</v>
      </c>
      <c r="E10" s="5" t="s">
        <v>12</v>
      </c>
      <c r="F10" s="3" t="s">
        <v>13</v>
      </c>
      <c r="G10" s="4"/>
      <c r="H10" s="4"/>
    </row>
    <row r="11" customFormat="false" ht="15" hidden="false" customHeight="false" outlineLevel="0" collapsed="false">
      <c r="A11" s="3" t="n">
        <v>8</v>
      </c>
      <c r="B11" s="4" t="s">
        <v>9</v>
      </c>
      <c r="C11" s="4" t="s">
        <v>25</v>
      </c>
      <c r="D11" s="3" t="s">
        <v>26</v>
      </c>
      <c r="E11" s="5" t="s">
        <v>12</v>
      </c>
      <c r="F11" s="3" t="s">
        <v>13</v>
      </c>
      <c r="G11" s="4"/>
      <c r="H11" s="4"/>
    </row>
    <row r="12" customFormat="false" ht="15" hidden="false" customHeight="false" outlineLevel="0" collapsed="false">
      <c r="A12" s="3" t="n">
        <v>9</v>
      </c>
      <c r="B12" s="4" t="s">
        <v>9</v>
      </c>
      <c r="C12" s="4" t="s">
        <v>27</v>
      </c>
      <c r="D12" s="3" t="s">
        <v>28</v>
      </c>
      <c r="E12" s="5" t="s">
        <v>12</v>
      </c>
      <c r="F12" s="3" t="s">
        <v>13</v>
      </c>
      <c r="G12" s="4"/>
      <c r="H12" s="4"/>
    </row>
    <row r="13" customFormat="false" ht="15" hidden="false" customHeight="false" outlineLevel="0" collapsed="false">
      <c r="A13" s="3" t="n">
        <v>10</v>
      </c>
      <c r="B13" s="4" t="s">
        <v>9</v>
      </c>
      <c r="C13" s="4" t="s">
        <v>29</v>
      </c>
      <c r="D13" s="3" t="s">
        <v>30</v>
      </c>
      <c r="E13" s="5" t="s">
        <v>12</v>
      </c>
      <c r="F13" s="3" t="s">
        <v>13</v>
      </c>
      <c r="G13" s="4"/>
      <c r="H13" s="4"/>
    </row>
    <row r="14" customFormat="false" ht="15" hidden="false" customHeight="false" outlineLevel="0" collapsed="false">
      <c r="A14" s="3" t="n">
        <v>11</v>
      </c>
      <c r="B14" s="4" t="s">
        <v>9</v>
      </c>
      <c r="C14" s="4" t="s">
        <v>31</v>
      </c>
      <c r="D14" s="3" t="s">
        <v>15</v>
      </c>
      <c r="E14" s="5" t="s">
        <v>12</v>
      </c>
      <c r="F14" s="3" t="s">
        <v>13</v>
      </c>
      <c r="G14" s="4"/>
      <c r="H14" s="4"/>
    </row>
    <row r="15" customFormat="false" ht="15" hidden="false" customHeight="false" outlineLevel="0" collapsed="false">
      <c r="A15" s="3" t="n">
        <v>12</v>
      </c>
      <c r="B15" s="4" t="s">
        <v>9</v>
      </c>
      <c r="C15" s="4" t="s">
        <v>32</v>
      </c>
      <c r="D15" s="3" t="s">
        <v>24</v>
      </c>
      <c r="E15" s="5" t="s">
        <v>12</v>
      </c>
      <c r="F15" s="3" t="s">
        <v>13</v>
      </c>
      <c r="G15" s="4"/>
      <c r="H15" s="4"/>
    </row>
    <row r="16" customFormat="false" ht="15" hidden="false" customHeight="false" outlineLevel="0" collapsed="false">
      <c r="A16" s="3" t="n">
        <v>13</v>
      </c>
      <c r="B16" s="4" t="s">
        <v>9</v>
      </c>
      <c r="C16" s="4" t="s">
        <v>33</v>
      </c>
      <c r="D16" s="3" t="s">
        <v>19</v>
      </c>
      <c r="E16" s="5" t="s">
        <v>12</v>
      </c>
      <c r="F16" s="3" t="s">
        <v>13</v>
      </c>
      <c r="G16" s="4"/>
      <c r="H16" s="4"/>
    </row>
    <row r="17" customFormat="false" ht="15" hidden="false" customHeight="false" outlineLevel="0" collapsed="false">
      <c r="A17" s="3" t="n">
        <v>14</v>
      </c>
      <c r="B17" s="4" t="s">
        <v>9</v>
      </c>
      <c r="C17" s="4" t="s">
        <v>34</v>
      </c>
      <c r="D17" s="3" t="s">
        <v>35</v>
      </c>
      <c r="E17" s="5" t="s">
        <v>12</v>
      </c>
      <c r="F17" s="3" t="s">
        <v>13</v>
      </c>
      <c r="G17" s="4"/>
      <c r="H17" s="4"/>
    </row>
    <row r="18" customFormat="false" ht="15" hidden="false" customHeight="false" outlineLevel="0" collapsed="false">
      <c r="A18" s="3" t="n">
        <v>15</v>
      </c>
      <c r="B18" s="4" t="s">
        <v>9</v>
      </c>
      <c r="C18" s="4" t="s">
        <v>36</v>
      </c>
      <c r="D18" s="3" t="s">
        <v>37</v>
      </c>
      <c r="E18" s="5" t="s">
        <v>12</v>
      </c>
      <c r="F18" s="3" t="s">
        <v>13</v>
      </c>
      <c r="G18" s="4"/>
      <c r="H18" s="4"/>
    </row>
    <row r="19" customFormat="false" ht="15" hidden="false" customHeight="false" outlineLevel="0" collapsed="false">
      <c r="A19" s="3" t="n">
        <v>16</v>
      </c>
      <c r="B19" s="4" t="s">
        <v>9</v>
      </c>
      <c r="C19" s="4" t="s">
        <v>38</v>
      </c>
      <c r="D19" s="3" t="s">
        <v>37</v>
      </c>
      <c r="E19" s="5" t="s">
        <v>12</v>
      </c>
      <c r="F19" s="3" t="s">
        <v>13</v>
      </c>
      <c r="G19" s="4"/>
      <c r="H19" s="4"/>
    </row>
    <row r="20" customFormat="false" ht="15" hidden="false" customHeight="false" outlineLevel="0" collapsed="false">
      <c r="A20" s="3" t="n">
        <v>17</v>
      </c>
      <c r="B20" s="4" t="s">
        <v>9</v>
      </c>
      <c r="C20" s="4" t="s">
        <v>39</v>
      </c>
      <c r="D20" s="3" t="s">
        <v>19</v>
      </c>
      <c r="E20" s="7" t="s">
        <v>40</v>
      </c>
      <c r="F20" s="3" t="s">
        <v>13</v>
      </c>
      <c r="G20" s="4"/>
      <c r="H20" s="4"/>
    </row>
    <row r="21" customFormat="false" ht="15" hidden="false" customHeight="false" outlineLevel="0" collapsed="false">
      <c r="A21" s="3" t="n">
        <v>18</v>
      </c>
      <c r="B21" s="4" t="s">
        <v>9</v>
      </c>
      <c r="C21" s="4" t="s">
        <v>41</v>
      </c>
      <c r="D21" s="3" t="s">
        <v>42</v>
      </c>
      <c r="E21" s="7" t="s">
        <v>40</v>
      </c>
      <c r="F21" s="3" t="s">
        <v>13</v>
      </c>
      <c r="G21" s="4"/>
      <c r="H21" s="4"/>
    </row>
    <row r="22" customFormat="false" ht="15" hidden="false" customHeight="false" outlineLevel="0" collapsed="false">
      <c r="A22" s="3" t="n">
        <v>19</v>
      </c>
      <c r="B22" s="4" t="s">
        <v>9</v>
      </c>
      <c r="C22" s="4" t="s">
        <v>43</v>
      </c>
      <c r="D22" s="3" t="s">
        <v>44</v>
      </c>
      <c r="E22" s="7" t="s">
        <v>40</v>
      </c>
      <c r="F22" s="3" t="s">
        <v>13</v>
      </c>
      <c r="G22" s="4"/>
      <c r="H22" s="4"/>
    </row>
    <row r="23" customFormat="false" ht="15" hidden="false" customHeight="false" outlineLevel="0" collapsed="false">
      <c r="A23" s="3" t="n">
        <v>20</v>
      </c>
      <c r="B23" s="4" t="s">
        <v>45</v>
      </c>
      <c r="C23" s="4" t="s">
        <v>46</v>
      </c>
      <c r="D23" s="3" t="s">
        <v>15</v>
      </c>
      <c r="E23" s="8" t="s">
        <v>47</v>
      </c>
      <c r="F23" s="3" t="s">
        <v>13</v>
      </c>
      <c r="G23" s="4"/>
      <c r="H23" s="4"/>
    </row>
    <row r="24" customFormat="false" ht="15" hidden="false" customHeight="false" outlineLevel="0" collapsed="false">
      <c r="A24" s="3" t="n">
        <v>21</v>
      </c>
      <c r="B24" s="4" t="s">
        <v>45</v>
      </c>
      <c r="C24" s="4" t="s">
        <v>48</v>
      </c>
      <c r="D24" s="3" t="s">
        <v>37</v>
      </c>
      <c r="E24" s="8" t="s">
        <v>47</v>
      </c>
      <c r="F24" s="3" t="s">
        <v>13</v>
      </c>
      <c r="G24" s="4"/>
      <c r="H24" s="4"/>
    </row>
    <row r="25" customFormat="false" ht="15" hidden="false" customHeight="false" outlineLevel="0" collapsed="false">
      <c r="A25" s="3" t="n">
        <v>22</v>
      </c>
      <c r="B25" s="4" t="s">
        <v>45</v>
      </c>
      <c r="C25" s="4" t="s">
        <v>49</v>
      </c>
      <c r="D25" s="3" t="s">
        <v>50</v>
      </c>
      <c r="E25" s="8" t="s">
        <v>47</v>
      </c>
      <c r="F25" s="3" t="s">
        <v>13</v>
      </c>
      <c r="G25" s="4"/>
      <c r="H25" s="4"/>
    </row>
    <row r="26" customFormat="false" ht="15" hidden="false" customHeight="false" outlineLevel="0" collapsed="false">
      <c r="A26" s="3" t="n">
        <v>23</v>
      </c>
      <c r="B26" s="4" t="s">
        <v>45</v>
      </c>
      <c r="C26" s="4" t="s">
        <v>51</v>
      </c>
      <c r="D26" s="3" t="s">
        <v>50</v>
      </c>
      <c r="E26" s="8" t="s">
        <v>47</v>
      </c>
      <c r="F26" s="3" t="s">
        <v>13</v>
      </c>
      <c r="G26" s="4"/>
      <c r="H26" s="4"/>
    </row>
    <row r="27" customFormat="false" ht="15" hidden="false" customHeight="false" outlineLevel="0" collapsed="false">
      <c r="A27" s="3" t="n">
        <v>24</v>
      </c>
      <c r="B27" s="4" t="s">
        <v>45</v>
      </c>
      <c r="C27" s="4" t="s">
        <v>52</v>
      </c>
      <c r="D27" s="3" t="s">
        <v>50</v>
      </c>
      <c r="E27" s="6" t="s">
        <v>20</v>
      </c>
      <c r="F27" s="3" t="s">
        <v>13</v>
      </c>
      <c r="G27" s="4"/>
      <c r="H27" s="4"/>
    </row>
    <row r="28" customFormat="false" ht="15" hidden="false" customHeight="false" outlineLevel="0" collapsed="false">
      <c r="A28" s="3" t="n">
        <v>25</v>
      </c>
      <c r="B28" s="4" t="s">
        <v>53</v>
      </c>
      <c r="C28" s="4" t="s">
        <v>54</v>
      </c>
      <c r="D28" s="3" t="s">
        <v>11</v>
      </c>
      <c r="E28" s="5" t="s">
        <v>12</v>
      </c>
      <c r="F28" s="3" t="s">
        <v>13</v>
      </c>
      <c r="G28" s="4"/>
      <c r="H28" s="4"/>
    </row>
    <row r="29" customFormat="false" ht="15" hidden="false" customHeight="false" outlineLevel="0" collapsed="false">
      <c r="A29" s="3" t="n">
        <v>26</v>
      </c>
      <c r="B29" s="4" t="s">
        <v>53</v>
      </c>
      <c r="C29" s="4" t="s">
        <v>55</v>
      </c>
      <c r="D29" s="3" t="s">
        <v>35</v>
      </c>
      <c r="E29" s="6" t="s">
        <v>20</v>
      </c>
      <c r="F29" s="3" t="s">
        <v>13</v>
      </c>
      <c r="G29" s="4"/>
      <c r="H29" s="4"/>
    </row>
    <row r="30" customFormat="false" ht="15" hidden="false" customHeight="false" outlineLevel="0" collapsed="false">
      <c r="A30" s="3" t="n">
        <v>27</v>
      </c>
      <c r="B30" s="4" t="s">
        <v>53</v>
      </c>
      <c r="C30" s="4" t="s">
        <v>56</v>
      </c>
      <c r="D30" s="3" t="s">
        <v>37</v>
      </c>
      <c r="E30" s="6" t="s">
        <v>20</v>
      </c>
      <c r="F30" s="3" t="s">
        <v>13</v>
      </c>
      <c r="G30" s="4"/>
      <c r="H30" s="4"/>
    </row>
    <row r="31" customFormat="false" ht="15" hidden="false" customHeight="false" outlineLevel="0" collapsed="false">
      <c r="A31" s="3" t="n">
        <v>28</v>
      </c>
      <c r="B31" s="4" t="s">
        <v>53</v>
      </c>
      <c r="C31" s="4" t="s">
        <v>57</v>
      </c>
      <c r="D31" s="3" t="s">
        <v>44</v>
      </c>
      <c r="E31" s="6" t="s">
        <v>20</v>
      </c>
      <c r="F31" s="3" t="s">
        <v>13</v>
      </c>
      <c r="G31" s="4"/>
      <c r="H31" s="4"/>
    </row>
    <row r="32" customFormat="false" ht="15" hidden="false" customHeight="false" outlineLevel="0" collapsed="false">
      <c r="A32" s="3" t="n">
        <v>29</v>
      </c>
      <c r="B32" s="4" t="s">
        <v>53</v>
      </c>
      <c r="C32" s="4" t="s">
        <v>58</v>
      </c>
      <c r="D32" s="3" t="s">
        <v>59</v>
      </c>
      <c r="E32" s="8" t="s">
        <v>47</v>
      </c>
      <c r="F32" s="3" t="s">
        <v>13</v>
      </c>
      <c r="G32" s="4"/>
      <c r="H32" s="4"/>
    </row>
    <row r="33" customFormat="false" ht="15" hidden="false" customHeight="false" outlineLevel="0" collapsed="false">
      <c r="A33" s="3" t="n">
        <v>30</v>
      </c>
      <c r="B33" s="4" t="s">
        <v>53</v>
      </c>
      <c r="C33" s="4" t="s">
        <v>60</v>
      </c>
      <c r="D33" s="3" t="s">
        <v>59</v>
      </c>
      <c r="E33" s="8" t="s">
        <v>47</v>
      </c>
      <c r="F33" s="3" t="s">
        <v>13</v>
      </c>
      <c r="G33" s="4"/>
      <c r="H33" s="4"/>
    </row>
    <row r="34" customFormat="false" ht="15" hidden="false" customHeight="false" outlineLevel="0" collapsed="false">
      <c r="A34" s="3" t="n">
        <v>31</v>
      </c>
      <c r="B34" s="4" t="s">
        <v>53</v>
      </c>
      <c r="C34" s="4" t="s">
        <v>61</v>
      </c>
      <c r="D34" s="3" t="s">
        <v>59</v>
      </c>
      <c r="E34" s="6" t="s">
        <v>20</v>
      </c>
      <c r="F34" s="3" t="s">
        <v>13</v>
      </c>
      <c r="G34" s="4"/>
      <c r="H34" s="4"/>
    </row>
    <row r="35" customFormat="false" ht="15" hidden="false" customHeight="false" outlineLevel="0" collapsed="false">
      <c r="A35" s="3" t="n">
        <v>32</v>
      </c>
      <c r="B35" s="4" t="s">
        <v>53</v>
      </c>
      <c r="C35" s="4" t="s">
        <v>62</v>
      </c>
      <c r="D35" s="3" t="s">
        <v>63</v>
      </c>
      <c r="E35" s="6" t="s">
        <v>20</v>
      </c>
      <c r="F35" s="3" t="s">
        <v>13</v>
      </c>
      <c r="G35" s="4"/>
      <c r="H35" s="4"/>
    </row>
    <row r="36" customFormat="false" ht="15" hidden="false" customHeight="false" outlineLevel="0" collapsed="false">
      <c r="A36" s="3" t="n">
        <v>33</v>
      </c>
      <c r="B36" s="4" t="s">
        <v>53</v>
      </c>
      <c r="C36" s="4" t="s">
        <v>64</v>
      </c>
      <c r="D36" s="3" t="s">
        <v>63</v>
      </c>
      <c r="E36" s="6" t="s">
        <v>20</v>
      </c>
      <c r="F36" s="3" t="s">
        <v>13</v>
      </c>
      <c r="G36" s="4"/>
      <c r="H36" s="4"/>
    </row>
    <row r="37" customFormat="false" ht="15" hidden="false" customHeight="false" outlineLevel="0" collapsed="false">
      <c r="A37" s="3" t="n">
        <v>34</v>
      </c>
      <c r="B37" s="4" t="s">
        <v>53</v>
      </c>
      <c r="C37" s="4" t="s">
        <v>65</v>
      </c>
      <c r="D37" s="3" t="s">
        <v>28</v>
      </c>
      <c r="E37" s="7" t="s">
        <v>40</v>
      </c>
      <c r="F37" s="3" t="s">
        <v>13</v>
      </c>
      <c r="G37" s="4"/>
      <c r="H37" s="4"/>
    </row>
    <row r="38" customFormat="false" ht="15" hidden="false" customHeight="false" outlineLevel="0" collapsed="false">
      <c r="A38" s="3" t="n">
        <v>35</v>
      </c>
      <c r="B38" s="4" t="s">
        <v>53</v>
      </c>
      <c r="C38" s="4" t="s">
        <v>66</v>
      </c>
      <c r="D38" s="3" t="s">
        <v>28</v>
      </c>
      <c r="E38" s="7" t="s">
        <v>40</v>
      </c>
      <c r="F38" s="3" t="s">
        <v>13</v>
      </c>
      <c r="G38" s="4"/>
      <c r="H38" s="4"/>
    </row>
    <row r="39" customFormat="false" ht="15" hidden="false" customHeight="false" outlineLevel="0" collapsed="false">
      <c r="A39" s="3" t="n">
        <v>36</v>
      </c>
      <c r="B39" s="4" t="s">
        <v>53</v>
      </c>
      <c r="C39" s="4" t="s">
        <v>67</v>
      </c>
      <c r="D39" s="3" t="s">
        <v>30</v>
      </c>
      <c r="E39" s="5" t="s">
        <v>12</v>
      </c>
      <c r="F39" s="3" t="s">
        <v>13</v>
      </c>
      <c r="G39" s="4"/>
      <c r="H39" s="4"/>
    </row>
    <row r="40" customFormat="false" ht="15" hidden="false" customHeight="false" outlineLevel="0" collapsed="false">
      <c r="A40" s="3" t="n">
        <v>37</v>
      </c>
      <c r="B40" s="4" t="s">
        <v>53</v>
      </c>
      <c r="C40" s="4" t="s">
        <v>68</v>
      </c>
      <c r="D40" s="3" t="s">
        <v>30</v>
      </c>
      <c r="E40" s="5" t="s">
        <v>12</v>
      </c>
      <c r="F40" s="3" t="s">
        <v>13</v>
      </c>
      <c r="G40" s="4"/>
      <c r="H40" s="4"/>
    </row>
    <row r="41" customFormat="false" ht="15" hidden="false" customHeight="false" outlineLevel="0" collapsed="false">
      <c r="A41" s="3" t="n">
        <v>38</v>
      </c>
      <c r="B41" s="4" t="s">
        <v>53</v>
      </c>
      <c r="C41" s="4" t="s">
        <v>69</v>
      </c>
      <c r="D41" s="3" t="s">
        <v>30</v>
      </c>
      <c r="E41" s="7" t="s">
        <v>40</v>
      </c>
      <c r="F41" s="3" t="s">
        <v>13</v>
      </c>
      <c r="G41" s="4"/>
      <c r="H41" s="4"/>
    </row>
    <row r="42" customFormat="false" ht="15" hidden="false" customHeight="false" outlineLevel="0" collapsed="false">
      <c r="A42" s="3" t="n">
        <v>39</v>
      </c>
      <c r="B42" s="4" t="s">
        <v>53</v>
      </c>
      <c r="C42" s="4" t="s">
        <v>70</v>
      </c>
      <c r="D42" s="3" t="s">
        <v>26</v>
      </c>
      <c r="E42" s="5" t="s">
        <v>12</v>
      </c>
      <c r="F42" s="3" t="s">
        <v>13</v>
      </c>
      <c r="G42" s="4"/>
      <c r="H42" s="4"/>
    </row>
    <row r="43" customFormat="false" ht="15" hidden="false" customHeight="false" outlineLevel="0" collapsed="false">
      <c r="A43" s="3" t="n">
        <v>40</v>
      </c>
      <c r="B43" s="4" t="s">
        <v>53</v>
      </c>
      <c r="C43" s="4" t="s">
        <v>71</v>
      </c>
      <c r="D43" s="3" t="s">
        <v>42</v>
      </c>
      <c r="E43" s="5" t="s">
        <v>12</v>
      </c>
      <c r="F43" s="3" t="s">
        <v>13</v>
      </c>
      <c r="G43" s="4"/>
      <c r="H43" s="4"/>
    </row>
    <row r="44" customFormat="false" ht="15" hidden="false" customHeight="false" outlineLevel="0" collapsed="false">
      <c r="A44" s="3" t="n">
        <v>41</v>
      </c>
      <c r="B44" s="4" t="s">
        <v>53</v>
      </c>
      <c r="C44" s="4" t="s">
        <v>72</v>
      </c>
      <c r="D44" s="3" t="s">
        <v>42</v>
      </c>
      <c r="E44" s="5" t="s">
        <v>12</v>
      </c>
      <c r="F44" s="3" t="s">
        <v>13</v>
      </c>
      <c r="G44" s="4"/>
      <c r="H44" s="4"/>
    </row>
    <row r="45" customFormat="false" ht="15" hidden="false" customHeight="false" outlineLevel="0" collapsed="false">
      <c r="A45" s="3" t="n">
        <v>42</v>
      </c>
      <c r="B45" s="4" t="s">
        <v>53</v>
      </c>
      <c r="C45" s="4" t="s">
        <v>73</v>
      </c>
      <c r="D45" s="3" t="s">
        <v>42</v>
      </c>
      <c r="E45" s="5" t="s">
        <v>12</v>
      </c>
      <c r="F45" s="3" t="s">
        <v>13</v>
      </c>
      <c r="G45" s="4"/>
      <c r="H45" s="4"/>
    </row>
    <row r="46" customFormat="false" ht="15" hidden="false" customHeight="false" outlineLevel="0" collapsed="false">
      <c r="A46" s="3" t="n">
        <v>43</v>
      </c>
      <c r="B46" s="4" t="s">
        <v>74</v>
      </c>
      <c r="C46" s="4" t="s">
        <v>75</v>
      </c>
      <c r="D46" s="3" t="s">
        <v>76</v>
      </c>
      <c r="E46" s="5" t="s">
        <v>12</v>
      </c>
      <c r="F46" s="3" t="s">
        <v>13</v>
      </c>
      <c r="G46" s="4"/>
      <c r="H46" s="4"/>
    </row>
    <row r="47" customFormat="false" ht="15" hidden="false" customHeight="false" outlineLevel="0" collapsed="false">
      <c r="A47" s="3" t="n">
        <v>44</v>
      </c>
      <c r="B47" s="4" t="s">
        <v>74</v>
      </c>
      <c r="C47" s="4" t="s">
        <v>77</v>
      </c>
      <c r="D47" s="3" t="s">
        <v>50</v>
      </c>
      <c r="E47" s="8" t="s">
        <v>47</v>
      </c>
      <c r="F47" s="3" t="s">
        <v>13</v>
      </c>
      <c r="G47" s="4"/>
      <c r="H47" s="4"/>
    </row>
    <row r="48" customFormat="false" ht="15" hidden="false" customHeight="false" outlineLevel="0" collapsed="false">
      <c r="A48" s="3" t="n">
        <v>45</v>
      </c>
      <c r="B48" s="4" t="s">
        <v>74</v>
      </c>
      <c r="C48" s="4" t="s">
        <v>78</v>
      </c>
      <c r="D48" s="3" t="s">
        <v>50</v>
      </c>
      <c r="E48" s="7" t="s">
        <v>40</v>
      </c>
      <c r="F48" s="3" t="s">
        <v>13</v>
      </c>
      <c r="G48" s="4"/>
      <c r="H48" s="4"/>
    </row>
    <row r="49" customFormat="false" ht="15" hidden="false" customHeight="false" outlineLevel="0" collapsed="false">
      <c r="A49" s="3" t="n">
        <v>46</v>
      </c>
      <c r="B49" s="4" t="s">
        <v>74</v>
      </c>
      <c r="C49" s="4" t="s">
        <v>79</v>
      </c>
      <c r="D49" s="3" t="s">
        <v>42</v>
      </c>
      <c r="E49" s="5" t="s">
        <v>12</v>
      </c>
      <c r="F49" s="3" t="s">
        <v>13</v>
      </c>
      <c r="G49" s="4"/>
      <c r="H49" s="4"/>
    </row>
    <row r="50" customFormat="false" ht="15" hidden="false" customHeight="false" outlineLevel="0" collapsed="false">
      <c r="A50" s="3" t="n">
        <v>47</v>
      </c>
      <c r="B50" s="4" t="s">
        <v>74</v>
      </c>
      <c r="C50" s="4" t="s">
        <v>80</v>
      </c>
      <c r="D50" s="3" t="s">
        <v>42</v>
      </c>
      <c r="E50" s="5" t="s">
        <v>12</v>
      </c>
      <c r="F50" s="3" t="s">
        <v>13</v>
      </c>
      <c r="G50" s="4"/>
      <c r="H50" s="4"/>
    </row>
    <row r="51" customFormat="false" ht="15" hidden="false" customHeight="false" outlineLevel="0" collapsed="false">
      <c r="A51" s="3" t="n">
        <v>48</v>
      </c>
      <c r="B51" s="4" t="s">
        <v>9</v>
      </c>
      <c r="C51" s="4" t="s">
        <v>81</v>
      </c>
      <c r="D51" s="3" t="s">
        <v>24</v>
      </c>
      <c r="E51" s="5" t="s">
        <v>12</v>
      </c>
      <c r="F51" s="3" t="s">
        <v>13</v>
      </c>
      <c r="G51" s="4"/>
      <c r="H51" s="4"/>
    </row>
    <row r="52" customFormat="false" ht="15" hidden="false" customHeight="false" outlineLevel="0" collapsed="false">
      <c r="A52" s="3" t="n">
        <v>49</v>
      </c>
      <c r="B52" s="4" t="s">
        <v>53</v>
      </c>
      <c r="C52" s="4" t="s">
        <v>82</v>
      </c>
      <c r="D52" s="3" t="s">
        <v>42</v>
      </c>
      <c r="E52" s="5" t="s">
        <v>12</v>
      </c>
      <c r="F52" s="3" t="s">
        <v>13</v>
      </c>
      <c r="G52" s="4"/>
      <c r="H52" s="4"/>
    </row>
    <row r="53" customFormat="false" ht="15" hidden="false" customHeight="false" outlineLevel="0" collapsed="false">
      <c r="A53" s="3" t="n">
        <v>50</v>
      </c>
      <c r="B53" s="4" t="s">
        <v>53</v>
      </c>
      <c r="C53" s="4" t="s">
        <v>83</v>
      </c>
      <c r="D53" s="3" t="s">
        <v>15</v>
      </c>
      <c r="E53" s="5" t="s">
        <v>12</v>
      </c>
      <c r="F53" s="3" t="s">
        <v>13</v>
      </c>
      <c r="G53" s="4"/>
      <c r="H53" s="4"/>
    </row>
    <row r="54" customFormat="false" ht="15" hidden="false" customHeight="false" outlineLevel="0" collapsed="false">
      <c r="A54" s="3" t="n">
        <v>51</v>
      </c>
      <c r="B54" s="4" t="s">
        <v>45</v>
      </c>
      <c r="C54" s="4" t="s">
        <v>84</v>
      </c>
      <c r="D54" s="3" t="s">
        <v>19</v>
      </c>
      <c r="E54" s="6" t="s">
        <v>20</v>
      </c>
      <c r="F54" s="3" t="s">
        <v>13</v>
      </c>
      <c r="G54" s="4"/>
      <c r="H54" s="4"/>
    </row>
    <row r="55" customFormat="false" ht="15" hidden="false" customHeight="false" outlineLevel="0" collapsed="false">
      <c r="A55" s="3" t="n">
        <v>52</v>
      </c>
      <c r="B55" s="4" t="s">
        <v>53</v>
      </c>
      <c r="C55" s="4" t="s">
        <v>85</v>
      </c>
      <c r="D55" s="3" t="s">
        <v>37</v>
      </c>
      <c r="E55" s="5" t="s">
        <v>12</v>
      </c>
      <c r="F55" s="3" t="s">
        <v>13</v>
      </c>
      <c r="G55" s="4"/>
      <c r="H55" s="4"/>
    </row>
    <row r="56" customFormat="false" ht="15" hidden="false" customHeight="false" outlineLevel="0" collapsed="false">
      <c r="A56" s="3" t="n">
        <v>53</v>
      </c>
      <c r="B56" s="4" t="s">
        <v>53</v>
      </c>
      <c r="C56" s="4" t="s">
        <v>86</v>
      </c>
      <c r="D56" s="3" t="s">
        <v>37</v>
      </c>
      <c r="E56" s="5" t="s">
        <v>12</v>
      </c>
      <c r="F56" s="3" t="s">
        <v>13</v>
      </c>
      <c r="G56" s="4"/>
      <c r="H56" s="4"/>
    </row>
    <row r="57" customFormat="false" ht="15" hidden="false" customHeight="false" outlineLevel="0" collapsed="false">
      <c r="A57" s="3" t="n">
        <v>54</v>
      </c>
      <c r="B57" s="4" t="s">
        <v>74</v>
      </c>
      <c r="C57" s="4" t="s">
        <v>87</v>
      </c>
      <c r="D57" s="3" t="s">
        <v>42</v>
      </c>
      <c r="E57" s="7" t="s">
        <v>40</v>
      </c>
      <c r="F57" s="3" t="s">
        <v>13</v>
      </c>
      <c r="G57" s="4"/>
      <c r="H57" s="4"/>
    </row>
    <row r="58" customFormat="false" ht="15" hidden="false" customHeight="false" outlineLevel="0" collapsed="false">
      <c r="A58" s="3" t="n">
        <v>55</v>
      </c>
      <c r="B58" s="4" t="s">
        <v>74</v>
      </c>
      <c r="C58" s="4" t="s">
        <v>88</v>
      </c>
      <c r="D58" s="3" t="s">
        <v>42</v>
      </c>
      <c r="E58" s="7" t="s">
        <v>40</v>
      </c>
      <c r="F58" s="3" t="s">
        <v>13</v>
      </c>
      <c r="G58" s="4"/>
      <c r="H58" s="4"/>
    </row>
    <row r="59" customFormat="false" ht="15" hidden="false" customHeight="false" outlineLevel="0" collapsed="false">
      <c r="A59" s="9" t="s">
        <v>89</v>
      </c>
      <c r="B59" s="9" t="n">
        <f aca="false">COUNTA(B4:B58)</f>
        <v>55</v>
      </c>
    </row>
  </sheetData>
  <autoFilter ref="A3:H58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22"/>
  </cols>
  <sheetData>
    <row r="1" customFormat="false" ht="30" hidden="false" customHeight="true" outlineLevel="0" collapsed="false">
      <c r="A1" s="10" t="s">
        <v>90</v>
      </c>
      <c r="B1" s="10"/>
      <c r="C1" s="10"/>
      <c r="D1" s="10"/>
      <c r="E1" s="10"/>
    </row>
    <row r="3" customFormat="false" ht="15" hidden="false" customHeight="false" outlineLevel="0" collapsed="false">
      <c r="A3" s="2" t="s">
        <v>5</v>
      </c>
      <c r="B3" s="2" t="s">
        <v>91</v>
      </c>
      <c r="C3" s="2" t="s">
        <v>92</v>
      </c>
      <c r="D3" s="2" t="s">
        <v>93</v>
      </c>
      <c r="E3" s="2" t="s">
        <v>94</v>
      </c>
    </row>
    <row r="4" customFormat="false" ht="15" hidden="false" customHeight="false" outlineLevel="0" collapsed="false">
      <c r="A4" s="8" t="s">
        <v>47</v>
      </c>
      <c r="B4" s="3" t="s">
        <v>95</v>
      </c>
      <c r="C4" s="3" t="n">
        <f aca="false">COUNTIF('All Items'!E4:E58,"P0")</f>
        <v>7</v>
      </c>
      <c r="D4" s="4" t="s">
        <v>96</v>
      </c>
      <c r="E4" s="4" t="s">
        <v>97</v>
      </c>
    </row>
    <row r="5" customFormat="false" ht="23.85" hidden="false" customHeight="false" outlineLevel="0" collapsed="false">
      <c r="A5" s="6" t="s">
        <v>20</v>
      </c>
      <c r="B5" s="3" t="s">
        <v>98</v>
      </c>
      <c r="C5" s="3" t="n">
        <f aca="false">COUNTIF('All Items'!E4:E58,"P1")</f>
        <v>9</v>
      </c>
      <c r="D5" s="4" t="s">
        <v>99</v>
      </c>
      <c r="E5" s="4" t="s">
        <v>100</v>
      </c>
    </row>
    <row r="6" customFormat="false" ht="15" hidden="false" customHeight="false" outlineLevel="0" collapsed="false">
      <c r="A6" s="5" t="s">
        <v>12</v>
      </c>
      <c r="B6" s="3" t="s">
        <v>101</v>
      </c>
      <c r="C6" s="3" t="n">
        <f aca="false">COUNTIF('All Items'!E4:E58,"P2")</f>
        <v>30</v>
      </c>
      <c r="D6" s="4" t="s">
        <v>102</v>
      </c>
      <c r="E6" s="4" t="s">
        <v>103</v>
      </c>
    </row>
    <row r="7" customFormat="false" ht="15" hidden="false" customHeight="false" outlineLevel="0" collapsed="false">
      <c r="A7" s="7" t="s">
        <v>40</v>
      </c>
      <c r="B7" s="3" t="s">
        <v>104</v>
      </c>
      <c r="C7" s="3" t="n">
        <f aca="false">COUNTIF('All Items'!E4:E58,"P3")</f>
        <v>9</v>
      </c>
      <c r="D7" s="4" t="s">
        <v>105</v>
      </c>
      <c r="E7" s="4" t="s">
        <v>106</v>
      </c>
    </row>
    <row r="8" customFormat="false" ht="15" hidden="false" customHeight="false" outlineLevel="0" collapsed="false">
      <c r="A8" s="11"/>
      <c r="B8" s="12" t="s">
        <v>89</v>
      </c>
      <c r="C8" s="12" t="n">
        <f aca="false">SUM(C4:C7)</f>
        <v>55</v>
      </c>
      <c r="D8" s="11"/>
      <c r="E8" s="11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0"/>
  </cols>
  <sheetData>
    <row r="1" customFormat="false" ht="30" hidden="false" customHeight="true" outlineLevel="0" collapsed="false">
      <c r="A1" s="10" t="s">
        <v>107</v>
      </c>
      <c r="B1" s="10"/>
      <c r="C1" s="10"/>
      <c r="D1" s="10"/>
    </row>
    <row r="3" customFormat="false" ht="15" hidden="false" customHeight="false" outlineLevel="0" collapsed="false">
      <c r="A3" s="2" t="s">
        <v>2</v>
      </c>
      <c r="B3" s="2" t="s">
        <v>92</v>
      </c>
      <c r="C3" s="2" t="s">
        <v>47</v>
      </c>
      <c r="D3" s="2" t="s">
        <v>20</v>
      </c>
    </row>
    <row r="4" customFormat="false" ht="15" hidden="false" customHeight="false" outlineLevel="0" collapsed="false">
      <c r="A4" s="3" t="s">
        <v>9</v>
      </c>
      <c r="B4" s="3" t="n">
        <f aca="false">COUNTIF('All Items'!B4:B58,A4)</f>
        <v>20</v>
      </c>
      <c r="C4" s="3" t="n">
        <f aca="false">COUNTIFS('All Items'!B4:B58,A4,'All Items'!E4:E58,"P0")</f>
        <v>0</v>
      </c>
      <c r="D4" s="3" t="n">
        <f aca="false">COUNTIFS('All Items'!B4:B58,A4,'All Items'!E4:E58,"P1")</f>
        <v>1</v>
      </c>
    </row>
    <row r="5" customFormat="false" ht="15" hidden="false" customHeight="false" outlineLevel="0" collapsed="false">
      <c r="A5" s="3" t="s">
        <v>45</v>
      </c>
      <c r="B5" s="3" t="n">
        <f aca="false">COUNTIF('All Items'!B4:B58,A5)</f>
        <v>6</v>
      </c>
      <c r="C5" s="3" t="n">
        <f aca="false">COUNTIFS('All Items'!B4:B58,A5,'All Items'!E4:E58,"P0")</f>
        <v>4</v>
      </c>
      <c r="D5" s="3" t="n">
        <f aca="false">COUNTIFS('All Items'!B4:B58,A5,'All Items'!E4:E58,"P1")</f>
        <v>2</v>
      </c>
    </row>
    <row r="6" customFormat="false" ht="15" hidden="false" customHeight="false" outlineLevel="0" collapsed="false">
      <c r="A6" s="3" t="s">
        <v>53</v>
      </c>
      <c r="B6" s="3" t="n">
        <f aca="false">COUNTIF('All Items'!B4:B58,A6)</f>
        <v>22</v>
      </c>
      <c r="C6" s="3" t="n">
        <f aca="false">COUNTIFS('All Items'!B4:B58,A6,'All Items'!E4:E58,"P0")</f>
        <v>2</v>
      </c>
      <c r="D6" s="3" t="n">
        <f aca="false">COUNTIFS('All Items'!B4:B58,A6,'All Items'!E4:E58,"P1")</f>
        <v>6</v>
      </c>
    </row>
    <row r="7" customFormat="false" ht="15" hidden="false" customHeight="false" outlineLevel="0" collapsed="false">
      <c r="A7" s="3" t="s">
        <v>74</v>
      </c>
      <c r="B7" s="3" t="n">
        <f aca="false">COUNTIF('All Items'!B4:B58,A7)</f>
        <v>7</v>
      </c>
      <c r="C7" s="3" t="n">
        <f aca="false">COUNTIFS('All Items'!B4:B58,A7,'All Items'!E4:E58,"P0")</f>
        <v>1</v>
      </c>
      <c r="D7" s="3" t="n">
        <f aca="false">COUNTIFS('All Items'!B4:B58,A7,'All Items'!E4:E58,"P1")</f>
        <v>0</v>
      </c>
    </row>
    <row r="8" customFormat="false" ht="15" hidden="false" customHeight="false" outlineLevel="0" collapsed="false">
      <c r="A8" s="12" t="s">
        <v>89</v>
      </c>
      <c r="B8" s="12" t="n">
        <f aca="false">SUM(B4:B7)</f>
        <v>55</v>
      </c>
      <c r="C8" s="12" t="n">
        <f aca="false">SUM(C4:C7)</f>
        <v>7</v>
      </c>
      <c r="D8" s="12" t="n">
        <f aca="false">SUM(D4:D7)</f>
        <v>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0"/>
    <col collapsed="false" customWidth="true" hidden="false" outlineLevel="0" max="4" min="4" style="0" width="55"/>
    <col collapsed="false" customWidth="true" hidden="false" outlineLevel="0" max="5" min="5" style="0" width="30"/>
  </cols>
  <sheetData>
    <row r="1" customFormat="false" ht="30" hidden="false" customHeight="true" outlineLevel="0" collapsed="false">
      <c r="A1" s="10" t="s">
        <v>108</v>
      </c>
      <c r="B1" s="10"/>
      <c r="C1" s="10"/>
      <c r="D1" s="10"/>
      <c r="E1" s="10"/>
    </row>
    <row r="3" customFormat="false" ht="15" hidden="false" customHeight="false" outlineLevel="0" collapsed="false">
      <c r="A3" s="2" t="s">
        <v>109</v>
      </c>
      <c r="B3" s="2" t="s">
        <v>110</v>
      </c>
      <c r="C3" s="2" t="s">
        <v>5</v>
      </c>
      <c r="D3" s="2" t="s">
        <v>111</v>
      </c>
      <c r="E3" s="2" t="s">
        <v>112</v>
      </c>
    </row>
    <row r="4" customFormat="false" ht="79.5" hidden="false" customHeight="true" outlineLevel="0" collapsed="false">
      <c r="A4" s="13" t="s">
        <v>113</v>
      </c>
      <c r="B4" s="4" t="s">
        <v>114</v>
      </c>
      <c r="C4" s="4" t="s">
        <v>115</v>
      </c>
      <c r="D4" s="4" t="s">
        <v>116</v>
      </c>
      <c r="E4" s="4"/>
    </row>
    <row r="5" customFormat="false" ht="79.5" hidden="false" customHeight="true" outlineLevel="0" collapsed="false">
      <c r="A5" s="13" t="s">
        <v>117</v>
      </c>
      <c r="B5" s="4" t="s">
        <v>118</v>
      </c>
      <c r="C5" s="4" t="s">
        <v>119</v>
      </c>
      <c r="D5" s="4" t="s">
        <v>120</v>
      </c>
      <c r="E5" s="4"/>
    </row>
    <row r="6" customFormat="false" ht="79.5" hidden="false" customHeight="true" outlineLevel="0" collapsed="false">
      <c r="A6" s="13" t="s">
        <v>121</v>
      </c>
      <c r="B6" s="4" t="s">
        <v>122</v>
      </c>
      <c r="C6" s="4" t="s">
        <v>123</v>
      </c>
      <c r="D6" s="4" t="s">
        <v>124</v>
      </c>
      <c r="E6" s="4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55"/>
    <col collapsed="false" customWidth="true" hidden="false" outlineLevel="0" max="4" min="4" style="0" width="35"/>
    <col collapsed="false" customWidth="true" hidden="false" outlineLevel="0" max="5" min="5" style="0" width="20"/>
  </cols>
  <sheetData>
    <row r="1" customFormat="false" ht="30" hidden="false" customHeight="true" outlineLevel="0" collapsed="false">
      <c r="A1" s="10" t="s">
        <v>125</v>
      </c>
      <c r="B1" s="10"/>
      <c r="C1" s="10"/>
      <c r="D1" s="10"/>
      <c r="E1" s="10"/>
    </row>
    <row r="3" customFormat="false" ht="15" hidden="false" customHeight="false" outlineLevel="0" collapsed="false">
      <c r="A3" s="2" t="s">
        <v>5</v>
      </c>
      <c r="B3" s="2" t="s">
        <v>126</v>
      </c>
      <c r="C3" s="2" t="s">
        <v>127</v>
      </c>
      <c r="D3" s="2" t="s">
        <v>128</v>
      </c>
      <c r="E3" s="2" t="s">
        <v>112</v>
      </c>
    </row>
    <row r="4" customFormat="false" ht="15" hidden="false" customHeight="false" outlineLevel="0" collapsed="false">
      <c r="A4" s="8" t="s">
        <v>47</v>
      </c>
      <c r="B4" s="4" t="s">
        <v>129</v>
      </c>
      <c r="C4" s="4" t="s">
        <v>130</v>
      </c>
      <c r="D4" s="4" t="s">
        <v>131</v>
      </c>
      <c r="E4" s="4"/>
    </row>
    <row r="5" customFormat="false" ht="15" hidden="false" customHeight="false" outlineLevel="0" collapsed="false">
      <c r="A5" s="8" t="s">
        <v>47</v>
      </c>
      <c r="B5" s="4" t="s">
        <v>129</v>
      </c>
      <c r="C5" s="4" t="s">
        <v>132</v>
      </c>
      <c r="D5" s="4" t="s">
        <v>131</v>
      </c>
      <c r="E5" s="4"/>
    </row>
    <row r="6" customFormat="false" ht="15" hidden="false" customHeight="false" outlineLevel="0" collapsed="false">
      <c r="A6" s="8" t="s">
        <v>47</v>
      </c>
      <c r="B6" s="4" t="s">
        <v>129</v>
      </c>
      <c r="C6" s="4" t="s">
        <v>133</v>
      </c>
      <c r="D6" s="4" t="s">
        <v>134</v>
      </c>
      <c r="E6" s="4"/>
    </row>
    <row r="7" customFormat="false" ht="15" hidden="false" customHeight="false" outlineLevel="0" collapsed="false">
      <c r="A7" s="8" t="s">
        <v>47</v>
      </c>
      <c r="B7" s="4" t="s">
        <v>135</v>
      </c>
      <c r="C7" s="4" t="s">
        <v>136</v>
      </c>
      <c r="D7" s="4" t="s">
        <v>137</v>
      </c>
      <c r="E7" s="4"/>
    </row>
    <row r="8" customFormat="false" ht="15" hidden="false" customHeight="false" outlineLevel="0" collapsed="false">
      <c r="A8" s="8" t="s">
        <v>47</v>
      </c>
      <c r="B8" s="4" t="s">
        <v>135</v>
      </c>
      <c r="C8" s="4" t="s">
        <v>132</v>
      </c>
      <c r="D8" s="4" t="s">
        <v>138</v>
      </c>
      <c r="E8" s="4"/>
    </row>
    <row r="9" customFormat="false" ht="15" hidden="false" customHeight="false" outlineLevel="0" collapsed="false">
      <c r="A9" s="8" t="s">
        <v>47</v>
      </c>
      <c r="B9" s="4" t="s">
        <v>135</v>
      </c>
      <c r="C9" s="4" t="s">
        <v>139</v>
      </c>
      <c r="D9" s="4" t="s">
        <v>140</v>
      </c>
      <c r="E9" s="4"/>
    </row>
    <row r="10" customFormat="false" ht="15" hidden="false" customHeight="false" outlineLevel="0" collapsed="false">
      <c r="A10" s="8" t="s">
        <v>47</v>
      </c>
      <c r="B10" s="4" t="s">
        <v>135</v>
      </c>
      <c r="C10" s="4" t="s">
        <v>141</v>
      </c>
      <c r="D10" s="4" t="s">
        <v>140</v>
      </c>
      <c r="E10" s="4"/>
    </row>
    <row r="11" customFormat="false" ht="15" hidden="false" customHeight="false" outlineLevel="0" collapsed="false">
      <c r="A11" s="8" t="s">
        <v>47</v>
      </c>
      <c r="B11" s="4" t="s">
        <v>142</v>
      </c>
      <c r="C11" s="4" t="s">
        <v>136</v>
      </c>
      <c r="D11" s="4" t="s">
        <v>143</v>
      </c>
      <c r="E11" s="4"/>
    </row>
    <row r="12" customFormat="false" ht="15" hidden="false" customHeight="false" outlineLevel="0" collapsed="false">
      <c r="A12" s="8" t="s">
        <v>47</v>
      </c>
      <c r="B12" s="4" t="s">
        <v>142</v>
      </c>
      <c r="C12" s="4" t="s">
        <v>144</v>
      </c>
      <c r="D12" s="4" t="s">
        <v>145</v>
      </c>
      <c r="E12" s="4"/>
    </row>
    <row r="13" customFormat="false" ht="15" hidden="false" customHeight="false" outlineLevel="0" collapsed="false">
      <c r="A13" s="6" t="s">
        <v>20</v>
      </c>
      <c r="B13" s="4" t="s">
        <v>146</v>
      </c>
      <c r="C13" s="4" t="s">
        <v>147</v>
      </c>
      <c r="D13" s="4" t="s">
        <v>148</v>
      </c>
      <c r="E13" s="4"/>
    </row>
    <row r="14" customFormat="false" ht="15" hidden="false" customHeight="false" outlineLevel="0" collapsed="false">
      <c r="A14" s="6" t="s">
        <v>20</v>
      </c>
      <c r="B14" s="4" t="s">
        <v>146</v>
      </c>
      <c r="C14" s="4" t="s">
        <v>149</v>
      </c>
      <c r="D14" s="4" t="s">
        <v>150</v>
      </c>
      <c r="E14" s="4"/>
    </row>
    <row r="15" customFormat="false" ht="15" hidden="false" customHeight="false" outlineLevel="0" collapsed="false">
      <c r="A15" s="6" t="s">
        <v>20</v>
      </c>
      <c r="B15" s="4" t="s">
        <v>151</v>
      </c>
      <c r="C15" s="4" t="s">
        <v>139</v>
      </c>
      <c r="D15" s="4" t="s">
        <v>152</v>
      </c>
      <c r="E15" s="4"/>
    </row>
    <row r="16" customFormat="false" ht="15" hidden="false" customHeight="false" outlineLevel="0" collapsed="false">
      <c r="A16" s="6" t="s">
        <v>20</v>
      </c>
      <c r="B16" s="4" t="s">
        <v>153</v>
      </c>
      <c r="C16" s="4" t="s">
        <v>154</v>
      </c>
      <c r="D16" s="4" t="s">
        <v>155</v>
      </c>
      <c r="E16" s="4"/>
    </row>
    <row r="17" customFormat="false" ht="23.85" hidden="false" customHeight="false" outlineLevel="0" collapsed="false">
      <c r="A17" s="6" t="s">
        <v>20</v>
      </c>
      <c r="B17" s="4" t="s">
        <v>156</v>
      </c>
      <c r="C17" s="4" t="s">
        <v>136</v>
      </c>
      <c r="D17" s="4" t="s">
        <v>157</v>
      </c>
      <c r="E17" s="4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2026-04-06T05:40:38Z</dcterms:created>
  <dc:creator>openpyxl</dc:creator>
  <dc:description/>
  <dc:language>en-US</dc:language>
  <cp:lastModifiedBy/>
  <dcterms:modified xsi:type="dcterms:W3CDTF">2026-04-06T05:40:38Z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