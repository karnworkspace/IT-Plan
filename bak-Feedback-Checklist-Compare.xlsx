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28"/>
  <workbookPr/>
  <mc:AlternateContent xmlns:mc="http://schemas.openxmlformats.org/markup-compatibility/2006">
    <mc:Choice Requires="x15">
      <x15ac:absPath xmlns:x15ac="http://schemas.microsoft.com/office/spreadsheetml/2010/11/ac" url="/Users/nk-lamy/Desktop/Coding/YTY Project/"/>
    </mc:Choice>
  </mc:AlternateContent>
  <xr:revisionPtr revIDLastSave="0" documentId="13_ncr:1_{717D8119-9E18-A547-B99B-2BCF3A1DE5AC}" xr6:coauthVersionLast="47" xr6:coauthVersionMax="47" xr10:uidLastSave="{00000000-0000-0000-0000-000000000000}"/>
  <bookViews>
    <workbookView xWindow="-20840" yWindow="480" windowWidth="21600" windowHeight="28200" tabRatio="500" xr2:uid="{00000000-000D-0000-FFFF-FFFF00000000}"/>
  </bookViews>
  <sheets>
    <sheet name="Feedback Checklist" sheetId="1" r:id="rId1"/>
    <sheet name="Summary" sheetId="2" r:id="rId2"/>
  </sheets>
  <definedNames>
    <definedName name="_xlnm._FilterDatabase" localSheetId="0" hidden="1">'Feedback Checklist'!$A$4:$J$54</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C14" i="2" l="1"/>
  <c r="D13" i="2"/>
  <c r="D12" i="2"/>
  <c r="D11" i="2"/>
  <c r="D10" i="2"/>
  <c r="C6" i="2"/>
  <c r="C5" i="2"/>
  <c r="C4" i="2"/>
  <c r="B55" i="1"/>
  <c r="C7" i="2" l="1"/>
  <c r="D14" i="2"/>
  <c r="D5" i="2"/>
  <c r="D6" i="2"/>
  <c r="D4" i="2"/>
</calcChain>
</file>

<file path=xl/sharedStrings.xml><?xml version="1.0" encoding="utf-8"?>
<sst xmlns="http://schemas.openxmlformats.org/spreadsheetml/2006/main" count="449" uniqueCount="230">
  <si>
    <t>Feedback Checklist — เทียบ MD กับ PowerPoint (15 Slides, 47 Items)</t>
  </si>
  <si>
    <t>สถานะ: ตรงกัน = ข้อมูลตรง PPTX ทุกประการ | บางส่วน = PPTX มีแต่ MD เพิ่มรายละเอียด | MD เพิ่มเอง = ไม่มี comment ตรงๆ ใน PPTX | PPTX เพิ่ม = มีใน PPTX แต่ MD ไม่ได้จับ</t>
  </si>
  <si>
    <t>No.</t>
  </si>
  <si>
    <t>รหัส</t>
  </si>
  <si>
    <t>กลุ่ม</t>
  </si>
  <si>
    <t>Slide</t>
  </si>
  <si>
    <t>หน้า</t>
  </si>
  <si>
    <t>รายละเอียด (จาก MD)</t>
  </si>
  <si>
    <t>ข้อความใน PPTX (ต้นฉบับ)</t>
  </si>
  <si>
    <t>สถานะเทียบ</t>
  </si>
  <si>
    <t>Priority</t>
  </si>
  <si>
    <t>Comment</t>
  </si>
  <si>
    <t>U01</t>
  </si>
  <si>
    <t>UI/UX</t>
  </si>
  <si>
    <t>1</t>
  </si>
  <si>
    <t>Login</t>
  </si>
  <si>
    <t>เปลี่ยน Title จาก "Frontend" เป็น "IT Project System"</t>
  </si>
  <si>
    <t>เปลี่ยน Title แก้ไขจาก Frontend ให้เป็นชื่อ IT Project System</t>
  </si>
  <si>
    <t>ตรงกัน</t>
  </si>
  <si>
    <t>P2</t>
  </si>
  <si>
    <t>U02</t>
  </si>
  <si>
    <t>Forgot Password กดแล้วเจอ 404 Not Found — ถ้ายังใช้ไม่ได้ให้ลบลิงก์ออก</t>
  </si>
  <si>
    <t>Function Forgot password ถ้ายังใช้ไม่ได้ ก็ไม่ต้องใส่มาครับ … กดที่ Forgot Password? แล้วพบ 404 Not Found</t>
  </si>
  <si>
    <t>F01</t>
  </si>
  <si>
    <t>New Feature</t>
  </si>
  <si>
    <t>Forgot Password ถ้าจะใช้งานได้ ให้มีการส่ง mail เข้าที่ Email ของ user เพื่อตั้ง password ใหม่</t>
  </si>
  <si>
    <t>ซึ่งถ้าจะใช้งานได้ ให้มีการ ส่ง mail เข้าที่ Email ของ user ที่ระบุ เพื่อให้ตั้ง password ใหม่</t>
  </si>
  <si>
    <t>U03</t>
  </si>
  <si>
    <t>2</t>
  </si>
  <si>
    <t>Dashboard</t>
  </si>
  <si>
    <t>เปลี่ยน logo เป็น logo เสนา</t>
  </si>
  <si>
    <t>เปลี่ยนเป็น logo เสนา</t>
  </si>
  <si>
    <t>U04</t>
  </si>
  <si>
    <t>เปลี่ยนคำว่า "Welcome back" เป็น "Dashboard"</t>
  </si>
  <si>
    <t>เปลี่ยน คำว่า Welcome back เป็นคำว่า Dashboard</t>
  </si>
  <si>
    <t>U05</t>
  </si>
  <si>
    <t>ส่วน Quick Access ล้นจอไปทางขวา — ย้ายลงมาอยู่ด้านล่างต่อจาก Recent Projects</t>
  </si>
  <si>
    <t>ส่วนของ Quick Access ล้นจอไปทางขวาขอปรับโยกลงมาอยู่ด้านล่าง ต่อจาก Recent Projects</t>
  </si>
  <si>
    <t>P1</t>
  </si>
  <si>
    <t>U06</t>
  </si>
  <si>
    <t>ส่วน Team Activity ล้นจอไปทางขวา — ย้ายลงมาอยู่ด้านล่างต่อจาก My Active Tasks</t>
  </si>
  <si>
    <t>ส่วนของ Team Activity ล้นจอไปทางขวาขอปรับโยกลงมาอยู่ด้านล่าง ต่อจาก My ActiveTasks</t>
  </si>
  <si>
    <t>R01</t>
  </si>
  <si>
    <t>Role &amp; Permission</t>
  </si>
  <si>
    <t>P0</t>
  </si>
  <si>
    <t>U07</t>
  </si>
  <si>
    <t>3</t>
  </si>
  <si>
    <t>ใส่คำว่า "IT Overall" เป็น header section</t>
  </si>
  <si>
    <t>ใส่เป็นคำว่า IT Overall</t>
  </si>
  <si>
    <t>U08</t>
  </si>
  <si>
    <t>4 กล่อง stat ไม่ต้องใส่สี ให้เป็นแบบเดียวกันกับด้านหน้า (พื้นขาว)</t>
  </si>
  <si>
    <t>U09</t>
  </si>
  <si>
    <t>เปลี่ยน label เป็น "View My Projects"</t>
  </si>
  <si>
    <t>เปลี่ยน label เป็น View My Projects</t>
  </si>
  <si>
    <t>U10</t>
  </si>
  <si>
    <t>Sidebar</t>
  </si>
  <si>
    <t>ต้องสามารถกดย่อ (&lt;&lt;) หรือขยาย (&gt;&gt;) เมนู Sidebar ได้</t>
  </si>
  <si>
    <t>ต้องสามารถกด ย่อ &lt;&lt; หรือ ขยาย &gt;&gt; เมนูในกรอบสีดำได้ เมื่อกดย่อ จะแสดงผลส่วนอื่นได้มากขึ้น</t>
  </si>
  <si>
    <t>U11</t>
  </si>
  <si>
    <t>4</t>
  </si>
  <si>
    <t>Projects/Timeline</t>
  </si>
  <si>
    <t>เปลี่ยนแถบสีของ plan ให้เป็นแบบเดียวตาม Project</t>
  </si>
  <si>
    <t>U12</t>
  </si>
  <si>
    <t>เปลี่ยนแถบสีของสถานะให้ตรงกับ Active, Delay, Complete, Hold, Cancelled</t>
  </si>
  <si>
    <t>เปลี่ยน แถบสีของสถานะ</t>
  </si>
  <si>
    <t>บางส่วน</t>
  </si>
  <si>
    <t>U13</t>
  </si>
  <si>
    <t>ตัวเลขขอให้เป็นตัวหนาและสีดำ</t>
  </si>
  <si>
    <t>ตัวเลขขอให้เป็นตัวหนา และสีดำ</t>
  </si>
  <si>
    <t>D01</t>
  </si>
  <si>
    <t>Data/Architecture</t>
  </si>
  <si>
    <t>ขาดกลุ่มงาน "Infrastructure and Network" ของฝั่งพี่เบิร์ด — ต้องเพิ่ม category นี้</t>
  </si>
  <si>
    <t>ขาดกลุ่มงานของฝั่งพี่เบิร์ด เป็น Infrastructure and Network ซึ่งพี่เบิร์ดจะต้องเพิ่ม project เข้าภายใต้กลุ่มงานนั้น</t>
  </si>
  <si>
    <t>U15</t>
  </si>
  <si>
    <t>5</t>
  </si>
  <si>
    <t>My Projects</t>
  </si>
  <si>
    <t>แก้ไข title ของ page ตามหน้านั้นๆ เช่น "My Projects"</t>
  </si>
  <si>
    <t>แก้ไข title ของ page ตามหน้านั้นๆ เช่น My Projects</t>
  </si>
  <si>
    <t>U16</t>
  </si>
  <si>
    <t>เติม label ด้านหน้าเขียนว่า "Project Status :"</t>
  </si>
  <si>
    <t>เติม label ด้านหน้า เขียนว่า Project Status :</t>
  </si>
  <si>
    <t>F02</t>
  </si>
  <si>
    <t>เพิ่ม menu "My Projects" ใน Sidebar</t>
  </si>
  <si>
    <t>เพิ่ม menu My Projects</t>
  </si>
  <si>
    <t>F03</t>
  </si>
  <si>
    <t>สร้างหน้า My Projects ใหม่ — แสดงเฉพาะ project ที่เราเป็น Member พร้อมตัวเลข stat</t>
  </si>
  <si>
    <t>แสดงตัวเลขตามจำนวนที่เรารับผิดชอบ</t>
  </si>
  <si>
    <t>R03</t>
  </si>
  <si>
    <t>ส่วน My Projects ต้องเห็นเฉพาะ project ที่เราเป็น Member เท่านั้น</t>
  </si>
  <si>
    <t>ในส่วนนี้จะต้องเห็นเฉพาะ project ที่เราเป็น Member</t>
  </si>
  <si>
    <t>U14</t>
  </si>
  <si>
    <t>6</t>
  </si>
  <si>
    <t>ขีดสีด้านหน้า List View ต้องแสดงตรงตามสถานะ Project</t>
  </si>
  <si>
    <t>ขีดสีด้านหน้า จะต้องแสดงให้ตรง ตามสถานะของ Project Active, Delay, Complete, Hold, Cancelled</t>
  </si>
  <si>
    <t>F04</t>
  </si>
  <si>
    <t>7</t>
  </si>
  <si>
    <t>My Tasks</t>
  </si>
  <si>
    <t>เปลี่ยนสี status ใหม่ และเพิ่มสถานะ "Overdue" แสดงด้วย</t>
  </si>
  <si>
    <t>เปลี่ยนสี statusและเพิ่ม Overdue ให้ด้วย</t>
  </si>
  <si>
    <t>R02</t>
  </si>
  <si>
    <t>Role Member เห็นเฉพาะ Task ที่มีการ assign ตัวเอง, Role Admin เห็นทุก Task</t>
  </si>
  <si>
    <t>Role Member เห็นเฉพาะ Task ที่มีการ assign ตัวเอง Role Admin เห็นทุก Task</t>
  </si>
  <si>
    <t>F05</t>
  </si>
  <si>
    <t>เพิ่มแสดงผลแบบตาราง (List View) มี column: Task Name, Assignee, Start Date, Due Date, Priority — sorting ASC/DESC</t>
  </si>
  <si>
    <t>ในส่วนของ Task ขอให้มีการเลือกแสดงผลแบบ เป็นตารางได้ ซึ่งมี column ตารางดังนี้ Task Name, Assignee, Start Date, Due Date, Priority และสามารถคลิกที่หัว column เพื่อ Sorting ได้ ทั้งแบบ ASC และ DESC</t>
  </si>
  <si>
    <t>F08</t>
  </si>
  <si>
    <t>8</t>
  </si>
  <si>
    <t>Task Status</t>
  </si>
  <si>
    <t>เมื่อมีการย้าย task status ต้องใส่ comment เสมอ (mandatory)</t>
  </si>
  <si>
    <t>เพิ่ม comment and activity ในการย้าย task ด้วย ว่าจะต้องใส่เสมอ เมื่อมีการย้าย task status</t>
  </si>
  <si>
    <t>F09</t>
  </si>
  <si>
    <t>เก็บ History log ทุกครั้งที่ย้าย status — stamp ชื่อ user, วันที่, เวลา และ note comment</t>
  </si>
  <si>
    <t>เก็บเป็น History log ทุกครั้ง stamp วันที่และเวลาของการย้าย และมี note comment ว่าย้ายเนื่องจากอะไร</t>
  </si>
  <si>
    <t>F10</t>
  </si>
  <si>
    <t>การ move ไป Hold หรือ Cancelled ต้องดู logic คำนวณเวลา project (หยุดนับเมื่อ Hold/Cancelled)</t>
  </si>
  <si>
    <t>การ move ไป hold หรือ Cancelled จะต้องดู logic การคำนวณด้วยว่า มีการคำนวณ อย่างไร ในการนับเวลาของ project</t>
  </si>
  <si>
    <t>F06</t>
  </si>
  <si>
    <t>9</t>
  </si>
  <si>
    <t>สามารถใส่ Filter ได้หลายเงื่อนไข: Task Status, Priority, Tags (เหมือนระบบ ClickUp)</t>
  </si>
  <si>
    <t>สามารถใส่ Filter ได้ โดยที่เลือกหลายๆเงื่อนไข เหมือนระบบ Click up Task Status, Priority, Tags</t>
  </si>
  <si>
    <t>F07</t>
  </si>
  <si>
    <t>สามารถเลื่อนสลับ status column ขึ้นบนหรือลงล่างได้ (เหมือนระบบ ClickUp)</t>
  </si>
  <si>
    <t>สามารถใส่ เลื่อนสลับ status ไหนขึ้นบน หรือลงล่างได้เหมือนของระบบ Click up</t>
  </si>
  <si>
    <t>P3</t>
  </si>
  <si>
    <t>U17</t>
  </si>
  <si>
    <t>10</t>
  </si>
  <si>
    <t>Task Detail</t>
  </si>
  <si>
    <t>ย้ายส่วน Daily Updates ขึ้นไปอยู่ต่อจาก Description และมีเส้นคั่นระหว่าง section</t>
  </si>
  <si>
    <t>ย้ายส่วนของ Daily Updates ขึ้นไปอยู่ต่อจาก Description และมีขีดเส้นใต้คั่นเมื่อหมด section นั้น ค่อยเป็น Section ของ Sub-Tasks ต่อ</t>
  </si>
  <si>
    <t>F11</t>
  </si>
  <si>
    <t>11</t>
  </si>
  <si>
    <t>ลบ "Current Status" และ "Progress (%)" ออก — ใช้ status ของ Task ด้านบนเป็นหลัก</t>
  </si>
  <si>
    <t>ลบ Current Status และ Progress (%) ออกไป เพราะเราจะใช้ status ของ Taskที่ด้านบนเป็นหลัก</t>
  </si>
  <si>
    <t>F12</t>
  </si>
  <si>
    <t>แก้ label ปุ่มเหลือแค่คำว่า "Update" อย่างเดียว</t>
  </si>
  <si>
    <t>แก้ Label ปุ่ม เหลือแค่ คำว่า Update อย่างเดียว</t>
  </si>
  <si>
    <t>F13</t>
  </si>
  <si>
    <t>ปุ่มแนบไฟล์หายไป — ต้องแนบไฟล์ได้มากกว่า 1 ไฟล์ รวมทุกไฟล์ไม่เกิน 20 MB ต่อ 1 Notes</t>
  </si>
  <si>
    <t>ปุ่มแนบไฟล์หายไป ในการ update จะต้อง แนบไฟล์ได้ด้วย ซึ่ง อยากให้แนบได้มากกว่า 1 ไฟล์ และ แจ้งกำหนดทุกไฟล์รวมกันแล้วไม่เกิน 20 MB ต่อ 1 Notes</t>
  </si>
  <si>
    <t>F14</t>
  </si>
  <si>
    <t>12</t>
  </si>
  <si>
    <t>Subtask</t>
  </si>
  <si>
    <t>Subtask ต้องมีวันที่เริ่มต้น วันที่สิ้นสุด และสามารถ assign คนรับผิดชอบได้ (ไม่ต้องมี Tag)</t>
  </si>
  <si>
    <t>subtask ควรให้มี วันที่เริ่มต้น วันที่สิ้นสุดด้วย และจะต้อง สามารถ assign คนรับผิดชอบเข้าใน subtask ได้ ซึ่ง Subtask จะต้องไม่มี Tag เนื่องจาก relate กับ Task อยู่แล้ว</t>
  </si>
  <si>
    <t>F15</t>
  </si>
  <si>
    <t>Subtask/Tag</t>
  </si>
  <si>
    <t>ต้องสามารถ Create, Edit, Delete tag ได้ และ apply กับตัวที่มี tag นี้อยู่ทั้งหมด สามารถใส่สีใน tag ได้</t>
  </si>
  <si>
    <t>จะต้องสามารถ Create, Edit, Delete tag ได้ และ apply กับตัวที่มี tag นี้อยู่ทั้งหมด และสามารถใส่สีใน tag ได้ด้วย</t>
  </si>
  <si>
    <t>F16</t>
  </si>
  <si>
    <t>แก้ไขปุ่มจาก "Convert to Task" เป็น "Move to task"</t>
  </si>
  <si>
    <t>แก้ไขปุ่มเขียนว่า "Move to task"</t>
  </si>
  <si>
    <t>D04</t>
  </si>
  <si>
    <t>Subtask ไม่ต้องมี Tag (inherit จาก parent task)</t>
  </si>
  <si>
    <t>Subtask จะต้องไม่มี Tag เนื่องจาก relate กับ Task อยู่แล้ว</t>
  </si>
  <si>
    <t>U18</t>
  </si>
  <si>
    <t>13</t>
  </si>
  <si>
    <t>Gantt</t>
  </si>
  <si>
    <t>Time Remaining ไม่ต้องหมุน และกล่องทุกช่องจัดเรียงให้เหลือแค่ 1 บรรทัด</t>
  </si>
  <si>
    <t>Time Remaining ไม่ต้องหมุนๆ ช่องสี่เหลี่ยมทั้งหมดทุกช่อง ขอให้จัดเรียงให้เหลือแค่ 1 บรรทัดพอ</t>
  </si>
  <si>
    <t>F17</t>
  </si>
  <si>
    <t>สามารถ drag ขยับวันเริ่มต้น/สิ้นสุดของ task ที่ Gantt ได้ และ auto แก้ไขใน task + revision activity + Mouse Hover 3 last activity</t>
  </si>
  <si>
    <t>Gannt chart การปรับวันที่เริ่มต้นสิ้นสุดของ task จะต้องให้สามารถขยับที่ gantt ได้ และ auto แก้ไขใน task ให้เลย และมี revision activity ชื่อ user, วันที่ และ เวลา … Mouse Hover 3 last activity</t>
  </si>
  <si>
    <t>D03</t>
  </si>
  <si>
    <t>Activity log ต้องครบถ้วน — เก็บ user, วันที่, เวลา ของทุกการเปลี่ยนแปลง</t>
  </si>
  <si>
    <t>มี revision activity ชื่อ user, วันที่ และ เวลา ของการเปลี่ยนแปลงด้วย</t>
  </si>
  <si>
    <t>—</t>
  </si>
  <si>
    <t>(ไม่มีใน MD)</t>
  </si>
  <si>
    <t>PPTX เพิ่ม</t>
  </si>
  <si>
    <t>U19</t>
  </si>
  <si>
    <t>14</t>
  </si>
  <si>
    <t>Calendar</t>
  </si>
  <si>
    <t>ตัด 2 กล่อง stat ด้านบนออก</t>
  </si>
  <si>
    <t>2 ช่องนี้ตัดทิ้ง</t>
  </si>
  <si>
    <t>F18</t>
  </si>
  <si>
    <t>แสดง Task ตามสีของสถานะ, มี Filter, ยิง calendar email เข้า Zimbra (ถ้าทำได้)</t>
  </si>
  <si>
    <t>แสดง Task ตามสี ของสถานะของ Task นั้นๆ มีให้ Filter การแสดงผล ใน Calendar filter Task Status, Tags, Priority เมื่อมีการ Assign งาน หรือ ปรับแก้ status ของ Task ที่เกี่ยวข้องกับเรา ควรจะมีการยิง calendar email (ถ้าทำได้ ยิงเข้า Zimbra)</t>
  </si>
  <si>
    <t>แสดง Task ของตัวเอง ตาม วันที่ และเวลาที่กำหนดไว้</t>
  </si>
  <si>
    <t>D02</t>
  </si>
  <si>
    <t>15</t>
  </si>
  <si>
    <t>Projects</t>
  </si>
  <si>
    <t>แยกประเภท Project: (1) report ผบห. มีคำนวณ % (2) Internal project งานย่อยภายใน</t>
  </si>
  <si>
    <t>ต้องแยกประเภท Project เป็นที่ต้อง report ผบห. มีการคำนวณเปอร์เซ็นต์ แยก และ แยกส่วนงานย่อยๆเป็น internal project</t>
  </si>
  <si>
    <t>R04</t>
  </si>
  <si>
    <t>Manager สร้าง project ได้ และสามารถ tag user member เข้ากลุ่มใน project</t>
  </si>
  <si>
    <t>จะต้องให้ Manager สร้าง และค่อยทำการ tag user member เข้ากลุ่มใน project</t>
  </si>
  <si>
    <t>R05</t>
  </si>
  <si>
    <t>Tasks</t>
  </si>
  <si>
    <t>Member สามารถสร้าง Task ได้เอง เพื่อ tracking งานภายใน</t>
  </si>
  <si>
    <t>member สามารถสร้าง Task ได้ เป็นการ tracking งานภายใน</t>
  </si>
  <si>
    <t>D05</t>
  </si>
  <si>
    <t>ทั้งระบบ</t>
  </si>
  <si>
    <t>Responsive web — ใช้งานได้ทั้งใน PC, Notebook, Tablet, iPad</t>
  </si>
  <si>
    <t>ตัว app แก้ไขให้เป็น responsive web ใช้งานได้ทั้งใน pc notebook tablet ipad</t>
  </si>
  <si>
    <t>(ไม่มีใน MD — แยกรายการ)</t>
  </si>
  <si>
    <t>สามารถสร้าง internal project ได้เอง</t>
  </si>
  <si>
    <t>Total</t>
  </si>
  <si>
    <t>ตรงกัน: =COUNTIF(H5:H54,"ตรงกัน") | บางส่วน: =COUNTIF(H5:H54,"บางส่วน") | PPTX เพิ่ม: =COUNTIF(H5:H54,"PPTX เพิ่ม")</t>
  </si>
  <si>
    <t>สรุปผลการเทียบ Feedback (MD) กับ PowerPoint (PPTX)</t>
  </si>
  <si>
    <t>สถานะ</t>
  </si>
  <si>
    <t>คำอธิบาย</t>
  </si>
  <si>
    <t>จำนวน</t>
  </si>
  <si>
    <t>%</t>
  </si>
  <si>
    <t>MD จับ comment จาก PPTX ได้ครบถ้วน</t>
  </si>
  <si>
    <t>MD จับได้แต่เพิ่มรายละเอียดหรือขาดบางจุด</t>
  </si>
  <si>
    <t>มี comment ใน PPTX แต่ MD ไม่ได้จับ</t>
  </si>
  <si>
    <t>รวม</t>
  </si>
  <si>
    <t>Level</t>
  </si>
  <si>
    <t>จำนวน (MD)</t>
  </si>
  <si>
    <t>จำนวน (เทียบ PPTX)</t>
  </si>
  <si>
    <t>Critical</t>
  </si>
  <si>
    <t>High</t>
  </si>
  <si>
    <t>Medium</t>
  </si>
  <si>
    <t>Low</t>
  </si>
  <si>
    <t>ข้อค้นพบสำคัญ</t>
  </si>
  <si>
    <t>1.</t>
  </si>
  <si>
    <t>MD จับ comment จาก PPTX ได้ครบเกือบทั้งหมด (ส่วนใหญ่ "ตรงกัน")</t>
  </si>
  <si>
    <t>2.</t>
  </si>
  <si>
    <t>Slide 13 (Gantt): PPTX มี comment เรื่อง "ขีดสีด้านหน้าตรงตามสถานะ" — MD ไม่ได้จับ</t>
  </si>
  <si>
    <t>3.</t>
  </si>
  <si>
    <t>Slide 14 (Calendar): PPTX มี "แสดง Task ของตัวเอง ตามวันที่และเวลา" — MD ไม่ได้จับแยก</t>
  </si>
  <si>
    <t>4.</t>
  </si>
  <si>
    <t>Slide 15: PPTX มี "สร้าง internal project ได้เอง" เป็น comment แยก — MD รวมอยู่ใน D02/R05</t>
  </si>
  <si>
    <t>5.</t>
  </si>
  <si>
    <t>F09 (History log): MD เพิ่มรายละเอียด "stamp ชื่อ user" ชัดกว่า PPTX ที่เขียนสั้นกว่า</t>
  </si>
  <si>
    <t>6.</t>
  </si>
  <si>
    <t>U12 (แถบสี): MD ระบุสถานะ Active/Delay/Complete/Hold/Cancelled แต่ PPTX เขียนแค่ "เปลี่ยนแถบสีของสถานะ"</t>
  </si>
  <si>
    <t>7.</t>
  </si>
  <si>
    <t>MD นับ 47 รายการ แต่เทียบจริงกับ PPTX พบเนื้อหาเพิ่มอีก 3 จุด รวมเป็น 50 จุด</t>
  </si>
  <si>
    <t>4 กล่องนี้ ไม่ต้องใส่สี ให้เป็นแบบเดียวกันกับตัวด้านหน้า (กล่อง Total project)</t>
  </si>
  <si>
    <t>ดำ</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</si>
</sst>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charset val="1"/>
    </font>
    <font>
      <b/>
      <sz val="13"/>
      <color rgb="FF2F5496"/>
      <name val="Arial"/>
      <family val="2"/>
    </font>
    <font>
      <sz val="9"/>
      <color rgb="FF666666"/>
      <name val="Arial"/>
      <family val="2"/>
    </font>
    <font>
      <b/>
      <sz val="10"/>
      <color rgb="FFFFFFFF"/>
      <name val="Arial"/>
      <family val="2"/>
    </font>
    <font>
      <sz val="10"/>
      <name val="Arial"/>
      <family val="2"/>
    </font>
    <font>
      <b/>
      <sz val="10"/>
      <name val="Arial"/>
      <family val="2"/>
    </font>
    <font>
      <b/>
      <sz val="12"/>
      <color rgb="FF2F5496"/>
      <name val="Arial"/>
      <family val="2"/>
    </font>
    <font>
      <sz val="10"/>
      <name val="Arial"/>
      <family val="2"/>
    </font>
  </fonts>
  <fills count="8">
    <fill>
      <patternFill patternType="none"/>
    </fill>
    <fill>
      <patternFill patternType="gray125"/>
    </fill>
    <fill>
      <patternFill patternType="solid">
        <fgColor rgb="FF2F5496"/>
        <bgColor rgb="FF0066CC"/>
      </patternFill>
    </fill>
    <fill>
      <patternFill patternType="solid">
        <fgColor rgb="FFC6EFCE"/>
        <bgColor rgb="FFDDEBF7"/>
      </patternFill>
    </fill>
    <fill>
      <patternFill patternType="solid">
        <fgColor rgb="FFFFE699"/>
        <bgColor rgb="FFFFFFCC"/>
      </patternFill>
    </fill>
    <fill>
      <patternFill patternType="solid">
        <fgColor rgb="FFFFC7CE"/>
        <bgColor rgb="FFFFE699"/>
      </patternFill>
    </fill>
    <fill>
      <patternFill patternType="solid">
        <fgColor rgb="FFDDEBF7"/>
        <bgColor rgb="FFD9E2F3"/>
      </patternFill>
    </fill>
    <fill>
      <patternFill patternType="solid">
        <fgColor rgb="FFD9E2F3"/>
        <bgColor rgb="FFDDEBF7"/>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0">
    <xf numFmtId="0" fontId="0" fillId="0" borderId="0" xfId="0"/>
    <xf numFmtId="0" fontId="3" fillId="2" borderId="1" xfId="0" applyFont="1" applyFill="1" applyBorder="1" applyAlignment="1">
      <alignment horizontal="center" vertical="center" wrapText="1"/>
    </xf>
    <xf numFmtId="0" fontId="4" fillId="0" borderId="1" xfId="0" applyFont="1" applyBorder="1" applyAlignment="1">
      <alignment horizontal="center" vertical="center" wrapText="1"/>
    </xf>
    <xf numFmtId="0" fontId="4" fillId="0" borderId="1" xfId="0" applyFont="1" applyBorder="1" applyAlignment="1">
      <alignment horizontal="left" vertical="center" wrapText="1"/>
    </xf>
    <xf numFmtId="0" fontId="4" fillId="3" borderId="1" xfId="0" applyFont="1" applyFill="1" applyBorder="1" applyAlignment="1">
      <alignment horizontal="center" vertical="center" wrapText="1"/>
    </xf>
    <xf numFmtId="0" fontId="4" fillId="4" borderId="1" xfId="0" applyFont="1" applyFill="1" applyBorder="1" applyAlignment="1">
      <alignment horizontal="center" vertical="center" wrapText="1"/>
    </xf>
    <xf numFmtId="0" fontId="4" fillId="5" borderId="1" xfId="0" applyFont="1" applyFill="1" applyBorder="1" applyAlignment="1">
      <alignment horizontal="center" vertical="center" wrapText="1"/>
    </xf>
    <xf numFmtId="0" fontId="4" fillId="6" borderId="1" xfId="0" applyFont="1" applyFill="1" applyBorder="1" applyAlignment="1">
      <alignment horizontal="center" vertical="center" wrapText="1"/>
    </xf>
    <xf numFmtId="0" fontId="4" fillId="7" borderId="1" xfId="0" applyFont="1" applyFill="1" applyBorder="1" applyAlignment="1">
      <alignment horizontal="center" vertical="center" wrapText="1"/>
    </xf>
    <xf numFmtId="0" fontId="5" fillId="0" borderId="0" xfId="0" applyFont="1"/>
    <xf numFmtId="0" fontId="4" fillId="3" borderId="1" xfId="0" applyFont="1" applyFill="1" applyBorder="1" applyAlignment="1">
      <alignment horizontal="left" vertical="center" wrapText="1"/>
    </xf>
    <xf numFmtId="0" fontId="4" fillId="4" borderId="1" xfId="0" applyFont="1" applyFill="1" applyBorder="1" applyAlignment="1">
      <alignment horizontal="left" vertical="center" wrapText="1"/>
    </xf>
    <xf numFmtId="0" fontId="4" fillId="7" borderId="1" xfId="0" applyFont="1" applyFill="1" applyBorder="1" applyAlignment="1">
      <alignment horizontal="left" vertical="center" wrapText="1"/>
    </xf>
    <xf numFmtId="0" fontId="5" fillId="0" borderId="1" xfId="0" applyFont="1" applyBorder="1"/>
    <xf numFmtId="0" fontId="0" fillId="0" borderId="1" xfId="0" applyBorder="1"/>
    <xf numFmtId="0" fontId="7" fillId="0" borderId="1" xfId="0" applyFont="1" applyBorder="1" applyAlignment="1">
      <alignment horizontal="left" vertical="center" wrapText="1"/>
    </xf>
    <xf numFmtId="0" fontId="1" fillId="0" borderId="0" xfId="0" applyFont="1"/>
    <xf numFmtId="0" fontId="2" fillId="0" borderId="0" xfId="0" applyFont="1"/>
    <xf numFmtId="0" fontId="4" fillId="0" borderId="0" xfId="0" applyFont="1"/>
    <xf numFmtId="0" fontId="6" fillId="0" borderId="0" xfId="0" applyFont="1"/>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DDEBF7"/>
      <rgbColor rgb="FF660066"/>
      <rgbColor rgb="FFFF8080"/>
      <rgbColor rgb="FF0066CC"/>
      <rgbColor rgb="FFD9E2F3"/>
      <rgbColor rgb="FF000080"/>
      <rgbColor rgb="FFFF00FF"/>
      <rgbColor rgb="FFFFFF00"/>
      <rgbColor rgb="FF00FFFF"/>
      <rgbColor rgb="FF800080"/>
      <rgbColor rgb="FF800000"/>
      <rgbColor rgb="FF008080"/>
      <rgbColor rgb="FF0000FF"/>
      <rgbColor rgb="FF00CCFF"/>
      <rgbColor rgb="FFCCFFFF"/>
      <rgbColor rgb="FFC6EFCE"/>
      <rgbColor rgb="FFFFE699"/>
      <rgbColor rgb="FF99CCFF"/>
      <rgbColor rgb="FFFF99CC"/>
      <rgbColor rgb="FFCC99FF"/>
      <rgbColor rgb="FFFFC7CE"/>
      <rgbColor rgb="FF3366FF"/>
      <rgbColor rgb="FF33CCCC"/>
      <rgbColor rgb="FF99CC00"/>
      <rgbColor rgb="FFFFCC00"/>
      <rgbColor rgb="FFFF9900"/>
      <rgbColor rgb="FFFF6600"/>
      <rgbColor rgb="FF666666"/>
      <rgbColor rgb="FF969696"/>
      <rgbColor rgb="FF003366"/>
      <rgbColor rgb="FF339966"/>
      <rgbColor rgb="FF003300"/>
      <rgbColor rgb="FF333300"/>
      <rgbColor rgb="FF993300"/>
      <rgbColor rgb="FF993366"/>
      <rgbColor rgb="FF2F5496"/>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55"/>
  <sheetViews>
    <sheetView tabSelected="1" topLeftCell="G1" zoomScale="150" zoomScaleNormal="100" workbookViewId="0">
      <pane ySplit="4" topLeftCell="A5" activePane="bottomLeft" state="frozen"/>
      <selection pane="bottomLeft" activeCell="J5" sqref="J5:J17"/>
    </sheetView>
  </sheetViews>
  <sheetFormatPr baseColWidth="10" defaultColWidth="8.6640625" defaultRowHeight="15" x14ac:dyDescent="0.2"/>
  <cols>
    <col min="1" max="1" width="6" customWidth="1"/>
    <col min="2" max="2" width="7" customWidth="1"/>
    <col min="3" max="3" width="16" customWidth="1"/>
    <col min="4" max="4" width="7" customWidth="1"/>
    <col min="5" max="5" width="16" customWidth="1"/>
    <col min="6" max="6" width="55" customWidth="1"/>
    <col min="7" max="7" width="60" customWidth="1"/>
    <col min="8" max="8" width="14" customWidth="1"/>
    <col min="9" max="9" width="9" customWidth="1"/>
    <col min="10" max="10" width="28" customWidth="1"/>
  </cols>
  <sheetData>
    <row r="1" spans="1:10" ht="27.75" customHeight="1" x14ac:dyDescent="0.2">
      <c r="A1" s="16" t="s">
        <v>0</v>
      </c>
      <c r="B1" s="16"/>
      <c r="C1" s="16"/>
      <c r="D1" s="16"/>
      <c r="E1" s="16"/>
      <c r="F1" s="16"/>
      <c r="G1" s="16"/>
      <c r="H1" s="16"/>
      <c r="I1" s="16"/>
      <c r="J1" s="16"/>
    </row>
    <row r="2" spans="1:10" ht="18" customHeight="1" x14ac:dyDescent="0.2">
      <c r="A2" s="17" t="s">
        <v>1</v>
      </c>
      <c r="B2" s="17"/>
      <c r="C2" s="17"/>
      <c r="D2" s="17"/>
      <c r="E2" s="17"/>
      <c r="F2" s="17"/>
      <c r="G2" s="17"/>
      <c r="H2" s="17"/>
      <c r="I2" s="17"/>
      <c r="J2" s="17"/>
    </row>
    <row r="4" spans="1:10" x14ac:dyDescent="0.2">
      <c r="A4" s="1" t="s">
        <v>2</v>
      </c>
      <c r="B4" s="1" t="s">
        <v>3</v>
      </c>
      <c r="C4" s="1" t="s">
        <v>4</v>
      </c>
      <c r="D4" s="1" t="s">
        <v>5</v>
      </c>
      <c r="E4" s="1" t="s">
        <v>6</v>
      </c>
      <c r="F4" s="1" t="s">
        <v>7</v>
      </c>
      <c r="G4" s="1" t="s">
        <v>8</v>
      </c>
      <c r="H4" s="1" t="s">
        <v>9</v>
      </c>
      <c r="I4" s="1" t="s">
        <v>10</v>
      </c>
      <c r="J4" s="1" t="s">
        <v>11</v>
      </c>
    </row>
    <row r="5" spans="1:10" x14ac:dyDescent="0.2">
      <c r="A5" s="2">
        <v>1</v>
      </c>
      <c r="B5" s="2" t="s">
        <v>12</v>
      </c>
      <c r="C5" s="3" t="s">
        <v>13</v>
      </c>
      <c r="D5" s="2" t="s">
        <v>14</v>
      </c>
      <c r="E5" s="3" t="s">
        <v>15</v>
      </c>
      <c r="F5" s="3" t="s">
        <v>16</v>
      </c>
      <c r="G5" s="3" t="s">
        <v>17</v>
      </c>
      <c r="H5" s="4" t="s">
        <v>18</v>
      </c>
      <c r="I5" s="4" t="s">
        <v>19</v>
      </c>
      <c r="J5" s="15"/>
    </row>
    <row r="6" spans="1:10" ht="28" x14ac:dyDescent="0.2">
      <c r="A6" s="2">
        <v>2</v>
      </c>
      <c r="B6" s="2" t="s">
        <v>20</v>
      </c>
      <c r="C6" s="3" t="s">
        <v>13</v>
      </c>
      <c r="D6" s="2" t="s">
        <v>14</v>
      </c>
      <c r="E6" s="3" t="s">
        <v>15</v>
      </c>
      <c r="F6" s="3" t="s">
        <v>21</v>
      </c>
      <c r="G6" s="3" t="s">
        <v>22</v>
      </c>
      <c r="H6" s="4" t="s">
        <v>18</v>
      </c>
      <c r="I6" s="4" t="s">
        <v>19</v>
      </c>
      <c r="J6" s="15"/>
    </row>
    <row r="7" spans="1:10" ht="28" x14ac:dyDescent="0.2">
      <c r="A7" s="2">
        <v>3</v>
      </c>
      <c r="B7" s="2" t="s">
        <v>23</v>
      </c>
      <c r="C7" s="3" t="s">
        <v>24</v>
      </c>
      <c r="D7" s="2" t="s">
        <v>14</v>
      </c>
      <c r="E7" s="3" t="s">
        <v>15</v>
      </c>
      <c r="F7" s="3" t="s">
        <v>25</v>
      </c>
      <c r="G7" s="3" t="s">
        <v>26</v>
      </c>
      <c r="H7" s="4" t="s">
        <v>18</v>
      </c>
      <c r="I7" s="4" t="s">
        <v>19</v>
      </c>
      <c r="J7" s="15"/>
    </row>
    <row r="8" spans="1:10" x14ac:dyDescent="0.2">
      <c r="A8" s="2">
        <v>4</v>
      </c>
      <c r="B8" s="2" t="s">
        <v>27</v>
      </c>
      <c r="C8" s="3" t="s">
        <v>13</v>
      </c>
      <c r="D8" s="2" t="s">
        <v>28</v>
      </c>
      <c r="E8" s="3" t="s">
        <v>29</v>
      </c>
      <c r="F8" s="3" t="s">
        <v>30</v>
      </c>
      <c r="G8" s="3" t="s">
        <v>31</v>
      </c>
      <c r="H8" s="4" t="s">
        <v>18</v>
      </c>
      <c r="I8" s="4" t="s">
        <v>19</v>
      </c>
      <c r="J8" s="15"/>
    </row>
    <row r="9" spans="1:10" x14ac:dyDescent="0.2">
      <c r="A9" s="2">
        <v>5</v>
      </c>
      <c r="B9" s="2" t="s">
        <v>32</v>
      </c>
      <c r="C9" s="3" t="s">
        <v>13</v>
      </c>
      <c r="D9" s="2" t="s">
        <v>28</v>
      </c>
      <c r="E9" s="3" t="s">
        <v>29</v>
      </c>
      <c r="F9" s="3" t="s">
        <v>33</v>
      </c>
      <c r="G9" s="3" t="s">
        <v>34</v>
      </c>
      <c r="H9" s="4" t="s">
        <v>18</v>
      </c>
      <c r="I9" s="4" t="s">
        <v>19</v>
      </c>
      <c r="J9" s="15"/>
    </row>
    <row r="10" spans="1:10" ht="28" x14ac:dyDescent="0.2">
      <c r="A10" s="2">
        <v>6</v>
      </c>
      <c r="B10" s="2" t="s">
        <v>35</v>
      </c>
      <c r="C10" s="3" t="s">
        <v>13</v>
      </c>
      <c r="D10" s="2" t="s">
        <v>28</v>
      </c>
      <c r="E10" s="3" t="s">
        <v>29</v>
      </c>
      <c r="F10" s="3" t="s">
        <v>36</v>
      </c>
      <c r="G10" s="3" t="s">
        <v>37</v>
      </c>
      <c r="H10" s="4" t="s">
        <v>18</v>
      </c>
      <c r="I10" s="5" t="s">
        <v>38</v>
      </c>
      <c r="J10" s="15"/>
    </row>
    <row r="11" spans="1:10" ht="28" x14ac:dyDescent="0.2">
      <c r="A11" s="2">
        <v>7</v>
      </c>
      <c r="B11" s="2" t="s">
        <v>39</v>
      </c>
      <c r="C11" s="3" t="s">
        <v>13</v>
      </c>
      <c r="D11" s="2" t="s">
        <v>28</v>
      </c>
      <c r="E11" s="3" t="s">
        <v>29</v>
      </c>
      <c r="F11" s="3" t="s">
        <v>40</v>
      </c>
      <c r="G11" s="3" t="s">
        <v>41</v>
      </c>
      <c r="H11" s="4" t="s">
        <v>18</v>
      </c>
      <c r="I11" s="5" t="s">
        <v>38</v>
      </c>
      <c r="J11" s="15"/>
    </row>
    <row r="12" spans="1:10" x14ac:dyDescent="0.2">
      <c r="A12" s="2">
        <v>8</v>
      </c>
      <c r="B12" s="2" t="s">
        <v>42</v>
      </c>
      <c r="H12" s="4" t="s">
        <v>18</v>
      </c>
      <c r="I12" s="6" t="s">
        <v>44</v>
      </c>
      <c r="J12" s="15"/>
    </row>
    <row r="13" spans="1:10" x14ac:dyDescent="0.2">
      <c r="A13" s="2">
        <v>9</v>
      </c>
      <c r="B13" s="2" t="s">
        <v>45</v>
      </c>
      <c r="C13" s="3" t="s">
        <v>13</v>
      </c>
      <c r="D13" s="2" t="s">
        <v>46</v>
      </c>
      <c r="E13" s="3" t="s">
        <v>29</v>
      </c>
      <c r="F13" s="3" t="s">
        <v>47</v>
      </c>
      <c r="G13" s="3" t="s">
        <v>48</v>
      </c>
      <c r="H13" s="4" t="s">
        <v>18</v>
      </c>
      <c r="I13" s="4" t="s">
        <v>19</v>
      </c>
      <c r="J13" s="15"/>
    </row>
    <row r="14" spans="1:10" x14ac:dyDescent="0.2">
      <c r="A14" s="2">
        <v>10</v>
      </c>
      <c r="B14" s="2" t="s">
        <v>49</v>
      </c>
      <c r="C14" s="3" t="s">
        <v>13</v>
      </c>
      <c r="D14" s="2" t="s">
        <v>46</v>
      </c>
      <c r="E14" s="3" t="s">
        <v>29</v>
      </c>
      <c r="F14" s="3" t="s">
        <v>50</v>
      </c>
      <c r="G14" s="15" t="s">
        <v>228</v>
      </c>
      <c r="H14" s="4" t="s">
        <v>18</v>
      </c>
      <c r="I14" s="4" t="s">
        <v>19</v>
      </c>
      <c r="J14" s="15"/>
    </row>
    <row r="15" spans="1:10" x14ac:dyDescent="0.2">
      <c r="A15" s="2">
        <v>11</v>
      </c>
      <c r="B15" s="2" t="s">
        <v>51</v>
      </c>
      <c r="C15" s="3" t="s">
        <v>13</v>
      </c>
      <c r="D15" s="2" t="s">
        <v>46</v>
      </c>
      <c r="E15" s="3" t="s">
        <v>29</v>
      </c>
      <c r="F15" s="3" t="s">
        <v>52</v>
      </c>
      <c r="G15" s="3" t="s">
        <v>53</v>
      </c>
      <c r="H15" s="4" t="s">
        <v>18</v>
      </c>
      <c r="I15" s="4" t="s">
        <v>19</v>
      </c>
      <c r="J15" s="15"/>
    </row>
    <row r="16" spans="1:10" ht="28" x14ac:dyDescent="0.2">
      <c r="A16" s="2">
        <v>12</v>
      </c>
      <c r="B16" s="2" t="s">
        <v>54</v>
      </c>
      <c r="C16" s="3" t="s">
        <v>13</v>
      </c>
      <c r="D16" s="2" t="s">
        <v>46</v>
      </c>
      <c r="E16" s="3" t="s">
        <v>55</v>
      </c>
      <c r="F16" s="3" t="s">
        <v>56</v>
      </c>
      <c r="G16" s="3" t="s">
        <v>57</v>
      </c>
      <c r="H16" s="4" t="s">
        <v>18</v>
      </c>
      <c r="I16" s="5" t="s">
        <v>38</v>
      </c>
      <c r="J16" s="15"/>
    </row>
    <row r="17" spans="1:10" x14ac:dyDescent="0.2">
      <c r="A17" s="2">
        <v>13</v>
      </c>
      <c r="B17" s="2" t="s">
        <v>58</v>
      </c>
      <c r="C17" s="3" t="s">
        <v>13</v>
      </c>
      <c r="D17" s="2" t="s">
        <v>59</v>
      </c>
      <c r="E17" s="3" t="s">
        <v>60</v>
      </c>
      <c r="F17" s="3" t="s">
        <v>61</v>
      </c>
      <c r="G17" s="3" t="s">
        <v>229</v>
      </c>
      <c r="H17" s="4" t="s">
        <v>18</v>
      </c>
      <c r="I17" s="4" t="s">
        <v>19</v>
      </c>
      <c r="J17" s="15"/>
    </row>
    <row r="18" spans="1:10" ht="28" x14ac:dyDescent="0.2">
      <c r="A18" s="2">
        <v>14</v>
      </c>
      <c r="B18" s="2" t="s">
        <v>62</v>
      </c>
      <c r="C18" s="3" t="s">
        <v>13</v>
      </c>
      <c r="D18" s="2" t="s">
        <v>59</v>
      </c>
      <c r="E18" s="3" t="s">
        <v>60</v>
      </c>
      <c r="F18" s="3" t="s">
        <v>63</v>
      </c>
      <c r="G18" s="3" t="s">
        <v>64</v>
      </c>
      <c r="H18" s="5" t="s">
        <v>65</v>
      </c>
      <c r="I18" s="4" t="s">
        <v>19</v>
      </c>
      <c r="J18" s="3"/>
    </row>
    <row r="19" spans="1:10" x14ac:dyDescent="0.2">
      <c r="A19" s="2">
        <v>15</v>
      </c>
      <c r="B19" s="2" t="s">
        <v>66</v>
      </c>
      <c r="C19" s="3" t="s">
        <v>13</v>
      </c>
      <c r="D19" s="2" t="s">
        <v>59</v>
      </c>
      <c r="E19" s="3" t="s">
        <v>60</v>
      </c>
      <c r="F19" s="3" t="s">
        <v>67</v>
      </c>
      <c r="G19" s="3" t="s">
        <v>68</v>
      </c>
      <c r="H19" s="4" t="s">
        <v>18</v>
      </c>
      <c r="I19" s="4" t="s">
        <v>19</v>
      </c>
      <c r="J19" s="3"/>
    </row>
    <row r="20" spans="1:10" ht="28" x14ac:dyDescent="0.2">
      <c r="A20" s="2">
        <v>16</v>
      </c>
      <c r="B20" s="2" t="s">
        <v>69</v>
      </c>
      <c r="C20" s="3" t="s">
        <v>70</v>
      </c>
      <c r="D20" s="2" t="s">
        <v>59</v>
      </c>
      <c r="E20" s="3" t="s">
        <v>60</v>
      </c>
      <c r="F20" s="3" t="s">
        <v>71</v>
      </c>
      <c r="G20" s="3" t="s">
        <v>72</v>
      </c>
      <c r="H20" s="4" t="s">
        <v>18</v>
      </c>
      <c r="I20" s="4" t="s">
        <v>19</v>
      </c>
      <c r="J20" s="3"/>
    </row>
    <row r="21" spans="1:10" x14ac:dyDescent="0.2">
      <c r="A21" s="2">
        <v>17</v>
      </c>
      <c r="B21" s="2" t="s">
        <v>73</v>
      </c>
      <c r="C21" s="3" t="s">
        <v>13</v>
      </c>
      <c r="D21" s="2" t="s">
        <v>74</v>
      </c>
      <c r="E21" s="3" t="s">
        <v>75</v>
      </c>
      <c r="F21" s="3" t="s">
        <v>76</v>
      </c>
      <c r="G21" s="3" t="s">
        <v>77</v>
      </c>
      <c r="H21" s="4" t="s">
        <v>18</v>
      </c>
      <c r="I21" s="4" t="s">
        <v>19</v>
      </c>
      <c r="J21" s="3"/>
    </row>
    <row r="22" spans="1:10" x14ac:dyDescent="0.2">
      <c r="A22" s="2">
        <v>18</v>
      </c>
      <c r="B22" s="2" t="s">
        <v>78</v>
      </c>
      <c r="C22" s="3" t="s">
        <v>13</v>
      </c>
      <c r="D22" s="2" t="s">
        <v>74</v>
      </c>
      <c r="E22" s="3" t="s">
        <v>75</v>
      </c>
      <c r="F22" s="3" t="s">
        <v>79</v>
      </c>
      <c r="G22" s="3" t="s">
        <v>80</v>
      </c>
      <c r="H22" s="4" t="s">
        <v>18</v>
      </c>
      <c r="I22" s="4" t="s">
        <v>19</v>
      </c>
      <c r="J22" s="3"/>
    </row>
    <row r="23" spans="1:10" x14ac:dyDescent="0.2">
      <c r="A23" s="2">
        <v>19</v>
      </c>
      <c r="B23" s="2" t="s">
        <v>81</v>
      </c>
      <c r="C23" s="3" t="s">
        <v>24</v>
      </c>
      <c r="D23" s="2" t="s">
        <v>74</v>
      </c>
      <c r="E23" s="3" t="s">
        <v>55</v>
      </c>
      <c r="F23" s="3" t="s">
        <v>82</v>
      </c>
      <c r="G23" s="3" t="s">
        <v>83</v>
      </c>
      <c r="H23" s="4" t="s">
        <v>18</v>
      </c>
      <c r="I23" s="5" t="s">
        <v>38</v>
      </c>
      <c r="J23" s="3"/>
    </row>
    <row r="24" spans="1:10" ht="28" x14ac:dyDescent="0.2">
      <c r="A24" s="2">
        <v>20</v>
      </c>
      <c r="B24" s="2" t="s">
        <v>84</v>
      </c>
      <c r="C24" s="3" t="s">
        <v>24</v>
      </c>
      <c r="D24" s="2" t="s">
        <v>74</v>
      </c>
      <c r="E24" s="3" t="s">
        <v>75</v>
      </c>
      <c r="F24" s="3" t="s">
        <v>85</v>
      </c>
      <c r="G24" s="3" t="s">
        <v>86</v>
      </c>
      <c r="H24" s="5" t="s">
        <v>65</v>
      </c>
      <c r="I24" s="5" t="s">
        <v>38</v>
      </c>
      <c r="J24" s="3"/>
    </row>
    <row r="25" spans="1:10" x14ac:dyDescent="0.2">
      <c r="A25" s="2">
        <v>21</v>
      </c>
      <c r="B25" s="2" t="s">
        <v>87</v>
      </c>
      <c r="C25" s="3" t="s">
        <v>43</v>
      </c>
      <c r="D25" s="2" t="s">
        <v>74</v>
      </c>
      <c r="E25" s="3" t="s">
        <v>75</v>
      </c>
      <c r="F25" s="3" t="s">
        <v>88</v>
      </c>
      <c r="G25" s="3" t="s">
        <v>89</v>
      </c>
      <c r="H25" s="4" t="s">
        <v>18</v>
      </c>
      <c r="I25" s="6" t="s">
        <v>44</v>
      </c>
      <c r="J25" s="3"/>
    </row>
    <row r="26" spans="1:10" ht="28" x14ac:dyDescent="0.2">
      <c r="A26" s="2">
        <v>22</v>
      </c>
      <c r="B26" s="2" t="s">
        <v>90</v>
      </c>
      <c r="C26" s="3" t="s">
        <v>13</v>
      </c>
      <c r="D26" s="2" t="s">
        <v>91</v>
      </c>
      <c r="E26" s="3" t="s">
        <v>75</v>
      </c>
      <c r="F26" s="3" t="s">
        <v>92</v>
      </c>
      <c r="G26" s="3" t="s">
        <v>93</v>
      </c>
      <c r="H26" s="4" t="s">
        <v>18</v>
      </c>
      <c r="I26" s="4" t="s">
        <v>19</v>
      </c>
      <c r="J26" s="3"/>
    </row>
    <row r="27" spans="1:10" x14ac:dyDescent="0.2">
      <c r="A27" s="2">
        <v>23</v>
      </c>
      <c r="B27" s="2" t="s">
        <v>94</v>
      </c>
      <c r="C27" s="3" t="s">
        <v>24</v>
      </c>
      <c r="D27" s="2" t="s">
        <v>95</v>
      </c>
      <c r="E27" s="3" t="s">
        <v>96</v>
      </c>
      <c r="F27" s="3" t="s">
        <v>97</v>
      </c>
      <c r="G27" s="3" t="s">
        <v>98</v>
      </c>
      <c r="H27" s="4" t="s">
        <v>18</v>
      </c>
      <c r="I27" s="4" t="s">
        <v>19</v>
      </c>
      <c r="J27" s="3"/>
    </row>
    <row r="28" spans="1:10" ht="28" x14ac:dyDescent="0.2">
      <c r="A28" s="2">
        <v>24</v>
      </c>
      <c r="B28" s="2" t="s">
        <v>99</v>
      </c>
      <c r="C28" s="3" t="s">
        <v>43</v>
      </c>
      <c r="D28" s="2" t="s">
        <v>95</v>
      </c>
      <c r="E28" s="3" t="s">
        <v>96</v>
      </c>
      <c r="F28" s="3" t="s">
        <v>100</v>
      </c>
      <c r="G28" s="3" t="s">
        <v>101</v>
      </c>
      <c r="H28" s="4" t="s">
        <v>18</v>
      </c>
      <c r="I28" s="6" t="s">
        <v>44</v>
      </c>
      <c r="J28" s="3"/>
    </row>
    <row r="29" spans="1:10" ht="42" x14ac:dyDescent="0.2">
      <c r="A29" s="2">
        <v>25</v>
      </c>
      <c r="B29" s="2" t="s">
        <v>102</v>
      </c>
      <c r="C29" s="3" t="s">
        <v>24</v>
      </c>
      <c r="D29" s="2" t="s">
        <v>95</v>
      </c>
      <c r="E29" s="3" t="s">
        <v>96</v>
      </c>
      <c r="F29" s="3" t="s">
        <v>103</v>
      </c>
      <c r="G29" s="3" t="s">
        <v>104</v>
      </c>
      <c r="H29" s="4" t="s">
        <v>18</v>
      </c>
      <c r="I29" s="5" t="s">
        <v>38</v>
      </c>
      <c r="J29" s="3"/>
    </row>
    <row r="30" spans="1:10" ht="28" x14ac:dyDescent="0.2">
      <c r="A30" s="2">
        <v>26</v>
      </c>
      <c r="B30" s="2" t="s">
        <v>105</v>
      </c>
      <c r="C30" s="3" t="s">
        <v>24</v>
      </c>
      <c r="D30" s="2" t="s">
        <v>106</v>
      </c>
      <c r="E30" s="3" t="s">
        <v>107</v>
      </c>
      <c r="F30" s="3" t="s">
        <v>108</v>
      </c>
      <c r="G30" s="3" t="s">
        <v>109</v>
      </c>
      <c r="H30" s="4" t="s">
        <v>18</v>
      </c>
      <c r="I30" s="6" t="s">
        <v>44</v>
      </c>
      <c r="J30" s="3"/>
    </row>
    <row r="31" spans="1:10" ht="28" x14ac:dyDescent="0.2">
      <c r="A31" s="2">
        <v>27</v>
      </c>
      <c r="B31" s="2" t="s">
        <v>110</v>
      </c>
      <c r="C31" s="3" t="s">
        <v>24</v>
      </c>
      <c r="D31" s="2" t="s">
        <v>106</v>
      </c>
      <c r="E31" s="3" t="s">
        <v>107</v>
      </c>
      <c r="F31" s="3" t="s">
        <v>111</v>
      </c>
      <c r="G31" s="3" t="s">
        <v>112</v>
      </c>
      <c r="H31" s="5" t="s">
        <v>65</v>
      </c>
      <c r="I31" s="6" t="s">
        <v>44</v>
      </c>
      <c r="J31" s="3"/>
    </row>
    <row r="32" spans="1:10" ht="28" x14ac:dyDescent="0.2">
      <c r="A32" s="2">
        <v>28</v>
      </c>
      <c r="B32" s="2" t="s">
        <v>113</v>
      </c>
      <c r="C32" s="3" t="s">
        <v>24</v>
      </c>
      <c r="D32" s="2" t="s">
        <v>106</v>
      </c>
      <c r="E32" s="3" t="s">
        <v>107</v>
      </c>
      <c r="F32" s="3" t="s">
        <v>114</v>
      </c>
      <c r="G32" s="3" t="s">
        <v>115</v>
      </c>
      <c r="H32" s="4" t="s">
        <v>18</v>
      </c>
      <c r="I32" s="5" t="s">
        <v>38</v>
      </c>
      <c r="J32" s="3"/>
    </row>
    <row r="33" spans="1:10" ht="28" x14ac:dyDescent="0.2">
      <c r="A33" s="2">
        <v>29</v>
      </c>
      <c r="B33" s="2" t="s">
        <v>116</v>
      </c>
      <c r="C33" s="3" t="s">
        <v>24</v>
      </c>
      <c r="D33" s="2" t="s">
        <v>117</v>
      </c>
      <c r="E33" s="3" t="s">
        <v>96</v>
      </c>
      <c r="F33" s="3" t="s">
        <v>118</v>
      </c>
      <c r="G33" s="3" t="s">
        <v>119</v>
      </c>
      <c r="H33" s="4" t="s">
        <v>18</v>
      </c>
      <c r="I33" s="5" t="s">
        <v>38</v>
      </c>
      <c r="J33" s="3"/>
    </row>
    <row r="34" spans="1:10" x14ac:dyDescent="0.2">
      <c r="A34" s="2">
        <v>30</v>
      </c>
      <c r="B34" s="2" t="s">
        <v>120</v>
      </c>
      <c r="C34" s="3" t="s">
        <v>24</v>
      </c>
      <c r="D34" s="2" t="s">
        <v>117</v>
      </c>
      <c r="E34" s="3" t="s">
        <v>96</v>
      </c>
      <c r="F34" s="3" t="s">
        <v>121</v>
      </c>
      <c r="G34" s="3" t="s">
        <v>122</v>
      </c>
      <c r="H34" s="4" t="s">
        <v>18</v>
      </c>
      <c r="I34" s="7" t="s">
        <v>123</v>
      </c>
      <c r="J34" s="3"/>
    </row>
    <row r="35" spans="1:10" ht="28" x14ac:dyDescent="0.2">
      <c r="A35" s="2">
        <v>31</v>
      </c>
      <c r="B35" s="2" t="s">
        <v>124</v>
      </c>
      <c r="C35" s="3" t="s">
        <v>13</v>
      </c>
      <c r="D35" s="2" t="s">
        <v>125</v>
      </c>
      <c r="E35" s="3" t="s">
        <v>126</v>
      </c>
      <c r="F35" s="3" t="s">
        <v>127</v>
      </c>
      <c r="G35" s="3" t="s">
        <v>128</v>
      </c>
      <c r="H35" s="4" t="s">
        <v>18</v>
      </c>
      <c r="I35" s="4" t="s">
        <v>19</v>
      </c>
      <c r="J35" s="3"/>
    </row>
    <row r="36" spans="1:10" ht="28" x14ac:dyDescent="0.2">
      <c r="A36" s="2">
        <v>32</v>
      </c>
      <c r="B36" s="2" t="s">
        <v>129</v>
      </c>
      <c r="C36" s="3" t="s">
        <v>24</v>
      </c>
      <c r="D36" s="2" t="s">
        <v>130</v>
      </c>
      <c r="E36" s="3" t="s">
        <v>126</v>
      </c>
      <c r="F36" s="3" t="s">
        <v>131</v>
      </c>
      <c r="G36" s="3" t="s">
        <v>132</v>
      </c>
      <c r="H36" s="4" t="s">
        <v>18</v>
      </c>
      <c r="I36" s="5" t="s">
        <v>38</v>
      </c>
      <c r="J36" s="3"/>
    </row>
    <row r="37" spans="1:10" x14ac:dyDescent="0.2">
      <c r="A37" s="2">
        <v>33</v>
      </c>
      <c r="B37" s="2" t="s">
        <v>133</v>
      </c>
      <c r="C37" s="3" t="s">
        <v>24</v>
      </c>
      <c r="D37" s="2" t="s">
        <v>130</v>
      </c>
      <c r="E37" s="3" t="s">
        <v>126</v>
      </c>
      <c r="F37" s="3" t="s">
        <v>134</v>
      </c>
      <c r="G37" s="3" t="s">
        <v>135</v>
      </c>
      <c r="H37" s="4" t="s">
        <v>18</v>
      </c>
      <c r="I37" s="4" t="s">
        <v>19</v>
      </c>
      <c r="J37" s="3"/>
    </row>
    <row r="38" spans="1:10" ht="28" x14ac:dyDescent="0.2">
      <c r="A38" s="2">
        <v>34</v>
      </c>
      <c r="B38" s="2" t="s">
        <v>136</v>
      </c>
      <c r="C38" s="3" t="s">
        <v>24</v>
      </c>
      <c r="D38" s="2" t="s">
        <v>130</v>
      </c>
      <c r="E38" s="3" t="s">
        <v>126</v>
      </c>
      <c r="F38" s="3" t="s">
        <v>137</v>
      </c>
      <c r="G38" s="3" t="s">
        <v>138</v>
      </c>
      <c r="H38" s="4" t="s">
        <v>18</v>
      </c>
      <c r="I38" s="5" t="s">
        <v>38</v>
      </c>
      <c r="J38" s="3"/>
    </row>
    <row r="39" spans="1:10" ht="28" x14ac:dyDescent="0.2">
      <c r="A39" s="2">
        <v>35</v>
      </c>
      <c r="B39" s="2" t="s">
        <v>139</v>
      </c>
      <c r="C39" s="3" t="s">
        <v>24</v>
      </c>
      <c r="D39" s="2" t="s">
        <v>140</v>
      </c>
      <c r="E39" s="3" t="s">
        <v>141</v>
      </c>
      <c r="F39" s="3" t="s">
        <v>142</v>
      </c>
      <c r="G39" s="3" t="s">
        <v>143</v>
      </c>
      <c r="H39" s="4" t="s">
        <v>18</v>
      </c>
      <c r="I39" s="5" t="s">
        <v>38</v>
      </c>
      <c r="J39" s="3"/>
    </row>
    <row r="40" spans="1:10" ht="28" x14ac:dyDescent="0.2">
      <c r="A40" s="2">
        <v>36</v>
      </c>
      <c r="B40" s="2" t="s">
        <v>144</v>
      </c>
      <c r="C40" s="3" t="s">
        <v>24</v>
      </c>
      <c r="D40" s="2" t="s">
        <v>140</v>
      </c>
      <c r="E40" s="3" t="s">
        <v>145</v>
      </c>
      <c r="F40" s="3" t="s">
        <v>146</v>
      </c>
      <c r="G40" s="3" t="s">
        <v>147</v>
      </c>
      <c r="H40" s="4" t="s">
        <v>18</v>
      </c>
      <c r="I40" s="4" t="s">
        <v>19</v>
      </c>
      <c r="J40" s="3"/>
    </row>
    <row r="41" spans="1:10" x14ac:dyDescent="0.2">
      <c r="A41" s="2">
        <v>37</v>
      </c>
      <c r="B41" s="2" t="s">
        <v>148</v>
      </c>
      <c r="C41" s="3" t="s">
        <v>24</v>
      </c>
      <c r="D41" s="2" t="s">
        <v>140</v>
      </c>
      <c r="E41" s="3" t="s">
        <v>141</v>
      </c>
      <c r="F41" s="3" t="s">
        <v>149</v>
      </c>
      <c r="G41" s="3" t="s">
        <v>150</v>
      </c>
      <c r="H41" s="4" t="s">
        <v>18</v>
      </c>
      <c r="I41" s="4" t="s">
        <v>19</v>
      </c>
      <c r="J41" s="3"/>
    </row>
    <row r="42" spans="1:10" x14ac:dyDescent="0.2">
      <c r="A42" s="2">
        <v>38</v>
      </c>
      <c r="B42" s="2" t="s">
        <v>151</v>
      </c>
      <c r="C42" s="3" t="s">
        <v>70</v>
      </c>
      <c r="D42" s="2" t="s">
        <v>140</v>
      </c>
      <c r="E42" s="3" t="s">
        <v>141</v>
      </c>
      <c r="F42" s="3" t="s">
        <v>152</v>
      </c>
      <c r="G42" s="3" t="s">
        <v>153</v>
      </c>
      <c r="H42" s="4" t="s">
        <v>18</v>
      </c>
      <c r="I42" s="4" t="s">
        <v>19</v>
      </c>
      <c r="J42" s="3"/>
    </row>
    <row r="43" spans="1:10" ht="28" x14ac:dyDescent="0.2">
      <c r="A43" s="2">
        <v>39</v>
      </c>
      <c r="B43" s="2" t="s">
        <v>154</v>
      </c>
      <c r="C43" s="3" t="s">
        <v>13</v>
      </c>
      <c r="D43" s="2" t="s">
        <v>155</v>
      </c>
      <c r="E43" s="3" t="s">
        <v>156</v>
      </c>
      <c r="F43" s="3" t="s">
        <v>157</v>
      </c>
      <c r="G43" s="3" t="s">
        <v>158</v>
      </c>
      <c r="H43" s="4" t="s">
        <v>18</v>
      </c>
      <c r="I43" s="4" t="s">
        <v>19</v>
      </c>
      <c r="J43" s="3"/>
    </row>
    <row r="44" spans="1:10" ht="42" x14ac:dyDescent="0.2">
      <c r="A44" s="2">
        <v>40</v>
      </c>
      <c r="B44" s="2" t="s">
        <v>159</v>
      </c>
      <c r="C44" s="3" t="s">
        <v>24</v>
      </c>
      <c r="D44" s="2" t="s">
        <v>155</v>
      </c>
      <c r="E44" s="3" t="s">
        <v>156</v>
      </c>
      <c r="F44" s="3" t="s">
        <v>160</v>
      </c>
      <c r="G44" s="3" t="s">
        <v>161</v>
      </c>
      <c r="H44" s="4" t="s">
        <v>18</v>
      </c>
      <c r="I44" s="7" t="s">
        <v>123</v>
      </c>
      <c r="J44" s="3"/>
    </row>
    <row r="45" spans="1:10" x14ac:dyDescent="0.2">
      <c r="A45" s="2">
        <v>41</v>
      </c>
      <c r="B45" s="2" t="s">
        <v>162</v>
      </c>
      <c r="C45" s="3" t="s">
        <v>70</v>
      </c>
      <c r="D45" s="2" t="s">
        <v>155</v>
      </c>
      <c r="E45" s="3" t="s">
        <v>156</v>
      </c>
      <c r="F45" s="3" t="s">
        <v>163</v>
      </c>
      <c r="G45" s="3" t="s">
        <v>164</v>
      </c>
      <c r="H45" s="5" t="s">
        <v>65</v>
      </c>
      <c r="I45" s="5" t="s">
        <v>38</v>
      </c>
      <c r="J45" s="3"/>
    </row>
    <row r="46" spans="1:10" ht="28" x14ac:dyDescent="0.2">
      <c r="A46" s="2">
        <v>42</v>
      </c>
      <c r="B46" s="2" t="s">
        <v>165</v>
      </c>
      <c r="C46" s="3" t="s">
        <v>13</v>
      </c>
      <c r="D46" s="2" t="s">
        <v>155</v>
      </c>
      <c r="E46" s="3" t="s">
        <v>156</v>
      </c>
      <c r="F46" s="3" t="s">
        <v>166</v>
      </c>
      <c r="G46" s="3" t="s">
        <v>93</v>
      </c>
      <c r="H46" s="8" t="s">
        <v>167</v>
      </c>
      <c r="I46" s="4" t="s">
        <v>19</v>
      </c>
      <c r="J46" s="3"/>
    </row>
    <row r="47" spans="1:10" x14ac:dyDescent="0.2">
      <c r="A47" s="2">
        <v>43</v>
      </c>
      <c r="B47" s="2" t="s">
        <v>168</v>
      </c>
      <c r="C47" s="3" t="s">
        <v>13</v>
      </c>
      <c r="D47" s="2" t="s">
        <v>169</v>
      </c>
      <c r="E47" s="3" t="s">
        <v>170</v>
      </c>
      <c r="F47" s="3" t="s">
        <v>171</v>
      </c>
      <c r="G47" s="3" t="s">
        <v>172</v>
      </c>
      <c r="H47" s="4" t="s">
        <v>18</v>
      </c>
      <c r="I47" s="4" t="s">
        <v>19</v>
      </c>
      <c r="J47" s="3"/>
    </row>
    <row r="48" spans="1:10" ht="42" x14ac:dyDescent="0.2">
      <c r="A48" s="2">
        <v>44</v>
      </c>
      <c r="B48" s="2" t="s">
        <v>173</v>
      </c>
      <c r="C48" s="3" t="s">
        <v>24</v>
      </c>
      <c r="D48" s="2" t="s">
        <v>169</v>
      </c>
      <c r="E48" s="3" t="s">
        <v>170</v>
      </c>
      <c r="F48" s="3" t="s">
        <v>174</v>
      </c>
      <c r="G48" s="3" t="s">
        <v>175</v>
      </c>
      <c r="H48" s="4" t="s">
        <v>18</v>
      </c>
      <c r="I48" s="4" t="s">
        <v>19</v>
      </c>
      <c r="J48" s="3"/>
    </row>
    <row r="49" spans="1:10" x14ac:dyDescent="0.2">
      <c r="A49" s="2">
        <v>45</v>
      </c>
      <c r="B49" s="2" t="s">
        <v>165</v>
      </c>
      <c r="C49" s="3" t="s">
        <v>24</v>
      </c>
      <c r="D49" s="2" t="s">
        <v>169</v>
      </c>
      <c r="E49" s="3" t="s">
        <v>170</v>
      </c>
      <c r="F49" s="3" t="s">
        <v>166</v>
      </c>
      <c r="G49" s="3" t="s">
        <v>176</v>
      </c>
      <c r="H49" s="8" t="s">
        <v>167</v>
      </c>
      <c r="I49" s="4" t="s">
        <v>19</v>
      </c>
      <c r="J49" s="3"/>
    </row>
    <row r="50" spans="1:10" ht="28" x14ac:dyDescent="0.2">
      <c r="A50" s="2">
        <v>46</v>
      </c>
      <c r="B50" s="2" t="s">
        <v>177</v>
      </c>
      <c r="C50" s="3" t="s">
        <v>70</v>
      </c>
      <c r="D50" s="2" t="s">
        <v>178</v>
      </c>
      <c r="E50" s="3" t="s">
        <v>179</v>
      </c>
      <c r="F50" s="3" t="s">
        <v>180</v>
      </c>
      <c r="G50" s="3" t="s">
        <v>181</v>
      </c>
      <c r="H50" s="4" t="s">
        <v>18</v>
      </c>
      <c r="I50" s="6" t="s">
        <v>44</v>
      </c>
      <c r="J50" s="3"/>
    </row>
    <row r="51" spans="1:10" x14ac:dyDescent="0.2">
      <c r="A51" s="2">
        <v>47</v>
      </c>
      <c r="B51" s="2" t="s">
        <v>182</v>
      </c>
      <c r="C51" s="3" t="s">
        <v>43</v>
      </c>
      <c r="D51" s="2" t="s">
        <v>178</v>
      </c>
      <c r="E51" s="3" t="s">
        <v>179</v>
      </c>
      <c r="F51" s="3" t="s">
        <v>183</v>
      </c>
      <c r="G51" s="3" t="s">
        <v>184</v>
      </c>
      <c r="H51" s="4" t="s">
        <v>18</v>
      </c>
      <c r="I51" s="5" t="s">
        <v>38</v>
      </c>
      <c r="J51" s="3"/>
    </row>
    <row r="52" spans="1:10" x14ac:dyDescent="0.2">
      <c r="A52" s="2">
        <v>48</v>
      </c>
      <c r="B52" s="2" t="s">
        <v>185</v>
      </c>
      <c r="C52" s="3" t="s">
        <v>43</v>
      </c>
      <c r="D52" s="2" t="s">
        <v>178</v>
      </c>
      <c r="E52" s="3" t="s">
        <v>186</v>
      </c>
      <c r="F52" s="3" t="s">
        <v>187</v>
      </c>
      <c r="G52" s="3" t="s">
        <v>188</v>
      </c>
      <c r="H52" s="4" t="s">
        <v>18</v>
      </c>
      <c r="I52" s="5" t="s">
        <v>38</v>
      </c>
      <c r="J52" s="3"/>
    </row>
    <row r="53" spans="1:10" x14ac:dyDescent="0.2">
      <c r="A53" s="2">
        <v>49</v>
      </c>
      <c r="B53" s="2" t="s">
        <v>189</v>
      </c>
      <c r="C53" s="3" t="s">
        <v>70</v>
      </c>
      <c r="D53" s="2" t="s">
        <v>178</v>
      </c>
      <c r="E53" s="3" t="s">
        <v>190</v>
      </c>
      <c r="F53" s="3" t="s">
        <v>191</v>
      </c>
      <c r="G53" s="3" t="s">
        <v>192</v>
      </c>
      <c r="H53" s="4" t="s">
        <v>18</v>
      </c>
      <c r="I53" s="7" t="s">
        <v>123</v>
      </c>
      <c r="J53" s="3"/>
    </row>
    <row r="54" spans="1:10" x14ac:dyDescent="0.2">
      <c r="A54" s="2">
        <v>50</v>
      </c>
      <c r="B54" s="2" t="s">
        <v>165</v>
      </c>
      <c r="C54" s="3" t="s">
        <v>24</v>
      </c>
      <c r="D54" s="2" t="s">
        <v>178</v>
      </c>
      <c r="E54" s="3" t="s">
        <v>179</v>
      </c>
      <c r="F54" s="3" t="s">
        <v>193</v>
      </c>
      <c r="G54" s="3" t="s">
        <v>194</v>
      </c>
      <c r="H54" s="8" t="s">
        <v>167</v>
      </c>
      <c r="I54" s="5" t="s">
        <v>38</v>
      </c>
      <c r="J54" s="3"/>
    </row>
    <row r="55" spans="1:10" x14ac:dyDescent="0.2">
      <c r="A55" s="9" t="s">
        <v>195</v>
      </c>
      <c r="B55" s="9">
        <f>COUNTA(B5:B54)</f>
        <v>50</v>
      </c>
      <c r="F55" s="9" t="s">
        <v>196</v>
      </c>
    </row>
  </sheetData>
  <autoFilter ref="A4:J54" xr:uid="{00000000-0009-0000-0000-000000000000}"/>
  <mergeCells count="2">
    <mergeCell ref="A1:J1"/>
    <mergeCell ref="A2:J2"/>
  </mergeCell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23"/>
  <sheetViews>
    <sheetView zoomScaleNormal="100" workbookViewId="0">
      <selection sqref="A1:F1"/>
    </sheetView>
  </sheetViews>
  <sheetFormatPr baseColWidth="10" defaultColWidth="8.6640625" defaultRowHeight="15" x14ac:dyDescent="0.2"/>
  <cols>
    <col min="1" max="1" width="14" customWidth="1"/>
    <col min="2" max="2" width="30" customWidth="1"/>
    <col min="3" max="3" width="16" customWidth="1"/>
    <col min="4" max="4" width="20" customWidth="1"/>
    <col min="5" max="6" width="12" customWidth="1"/>
  </cols>
  <sheetData>
    <row r="1" spans="1:6" ht="27.75" customHeight="1" x14ac:dyDescent="0.2">
      <c r="A1" s="16" t="s">
        <v>197</v>
      </c>
      <c r="B1" s="16"/>
      <c r="C1" s="16"/>
      <c r="D1" s="16"/>
      <c r="E1" s="16"/>
      <c r="F1" s="16"/>
    </row>
    <row r="3" spans="1:6" x14ac:dyDescent="0.2">
      <c r="A3" s="1" t="s">
        <v>198</v>
      </c>
      <c r="B3" s="1" t="s">
        <v>199</v>
      </c>
      <c r="C3" s="1" t="s">
        <v>200</v>
      </c>
      <c r="D3" s="1" t="s">
        <v>201</v>
      </c>
    </row>
    <row r="4" spans="1:6" x14ac:dyDescent="0.2">
      <c r="A4" s="10" t="s">
        <v>18</v>
      </c>
      <c r="B4" s="3" t="s">
        <v>202</v>
      </c>
      <c r="C4" s="2">
        <f>COUNTIF('Feedback Checklist'!H5:H54,"ตรงกัน")</f>
        <v>43</v>
      </c>
      <c r="D4" s="2">
        <f>C4/SUM(C4:C6)*100</f>
        <v>86</v>
      </c>
    </row>
    <row r="5" spans="1:6" ht="28" x14ac:dyDescent="0.2">
      <c r="A5" s="11" t="s">
        <v>65</v>
      </c>
      <c r="B5" s="3" t="s">
        <v>203</v>
      </c>
      <c r="C5" s="2">
        <f>COUNTIF('Feedback Checklist'!H5:H54,"บางส่วน")</f>
        <v>4</v>
      </c>
      <c r="D5" s="2">
        <f>C5/SUM(C4:C6)*100</f>
        <v>8</v>
      </c>
    </row>
    <row r="6" spans="1:6" x14ac:dyDescent="0.2">
      <c r="A6" s="12" t="s">
        <v>167</v>
      </c>
      <c r="B6" s="3" t="s">
        <v>204</v>
      </c>
      <c r="C6" s="2">
        <f>COUNTIF('Feedback Checklist'!H5:H54,"PPTX เพิ่ม")</f>
        <v>3</v>
      </c>
      <c r="D6" s="2">
        <f>C6/SUM(C4:C6)*100</f>
        <v>6</v>
      </c>
    </row>
    <row r="7" spans="1:6" x14ac:dyDescent="0.2">
      <c r="A7" s="13" t="s">
        <v>205</v>
      </c>
      <c r="B7" s="14"/>
      <c r="C7" s="13">
        <f>SUM(C4:C6)</f>
        <v>50</v>
      </c>
      <c r="D7" s="14"/>
    </row>
    <row r="9" spans="1:6" x14ac:dyDescent="0.2">
      <c r="A9" s="1" t="s">
        <v>10</v>
      </c>
      <c r="B9" s="1" t="s">
        <v>206</v>
      </c>
      <c r="C9" s="1" t="s">
        <v>207</v>
      </c>
      <c r="D9" s="1" t="s">
        <v>208</v>
      </c>
    </row>
    <row r="10" spans="1:6" x14ac:dyDescent="0.2">
      <c r="A10" s="6" t="s">
        <v>44</v>
      </c>
      <c r="B10" s="2" t="s">
        <v>209</v>
      </c>
      <c r="C10" s="2">
        <v>5</v>
      </c>
      <c r="D10" s="2">
        <f>COUNTIF('Feedback Checklist'!I5:I54,"P0")</f>
        <v>6</v>
      </c>
    </row>
    <row r="11" spans="1:6" x14ac:dyDescent="0.2">
      <c r="A11" s="5" t="s">
        <v>38</v>
      </c>
      <c r="B11" s="2" t="s">
        <v>210</v>
      </c>
      <c r="C11" s="2">
        <v>11</v>
      </c>
      <c r="D11" s="2">
        <f>COUNTIF('Feedback Checklist'!I5:I54,"P1")</f>
        <v>15</v>
      </c>
    </row>
    <row r="12" spans="1:6" x14ac:dyDescent="0.2">
      <c r="A12" s="4" t="s">
        <v>19</v>
      </c>
      <c r="B12" s="2" t="s">
        <v>211</v>
      </c>
      <c r="C12" s="2">
        <v>23</v>
      </c>
      <c r="D12" s="2">
        <f>COUNTIF('Feedback Checklist'!I5:I54,"P2")</f>
        <v>26</v>
      </c>
    </row>
    <row r="13" spans="1:6" x14ac:dyDescent="0.2">
      <c r="A13" s="7" t="s">
        <v>123</v>
      </c>
      <c r="B13" s="2" t="s">
        <v>212</v>
      </c>
      <c r="C13" s="2">
        <v>8</v>
      </c>
      <c r="D13" s="2">
        <f>COUNTIF('Feedback Checklist'!I5:I54,"P3")</f>
        <v>3</v>
      </c>
    </row>
    <row r="14" spans="1:6" x14ac:dyDescent="0.2">
      <c r="A14" s="14"/>
      <c r="B14" s="13" t="s">
        <v>205</v>
      </c>
      <c r="C14" s="13">
        <f>SUM(C10:C13)</f>
        <v>47</v>
      </c>
      <c r="D14" s="13">
        <f>SUM(D10:D13)</f>
        <v>50</v>
      </c>
    </row>
    <row r="16" spans="1:6" ht="16" x14ac:dyDescent="0.2">
      <c r="A16" s="19" t="s">
        <v>213</v>
      </c>
      <c r="B16" s="19"/>
      <c r="C16" s="19"/>
      <c r="D16" s="19"/>
      <c r="E16" s="19"/>
      <c r="F16" s="19"/>
    </row>
    <row r="17" spans="1:6" x14ac:dyDescent="0.2">
      <c r="A17" s="9" t="s">
        <v>214</v>
      </c>
      <c r="B17" s="18" t="s">
        <v>215</v>
      </c>
      <c r="C17" s="18"/>
      <c r="D17" s="18"/>
      <c r="E17" s="18"/>
      <c r="F17" s="18"/>
    </row>
    <row r="18" spans="1:6" x14ac:dyDescent="0.2">
      <c r="A18" s="9" t="s">
        <v>216</v>
      </c>
      <c r="B18" s="18" t="s">
        <v>217</v>
      </c>
      <c r="C18" s="18"/>
      <c r="D18" s="18"/>
      <c r="E18" s="18"/>
      <c r="F18" s="18"/>
    </row>
    <row r="19" spans="1:6" x14ac:dyDescent="0.2">
      <c r="A19" s="9" t="s">
        <v>218</v>
      </c>
      <c r="B19" s="18" t="s">
        <v>219</v>
      </c>
      <c r="C19" s="18"/>
      <c r="D19" s="18"/>
      <c r="E19" s="18"/>
      <c r="F19" s="18"/>
    </row>
    <row r="20" spans="1:6" x14ac:dyDescent="0.2">
      <c r="A20" s="9" t="s">
        <v>220</v>
      </c>
      <c r="B20" s="18" t="s">
        <v>221</v>
      </c>
      <c r="C20" s="18"/>
      <c r="D20" s="18"/>
      <c r="E20" s="18"/>
      <c r="F20" s="18"/>
    </row>
    <row r="21" spans="1:6" x14ac:dyDescent="0.2">
      <c r="A21" s="9" t="s">
        <v>222</v>
      </c>
      <c r="B21" s="18" t="s">
        <v>223</v>
      </c>
      <c r="C21" s="18"/>
      <c r="D21" s="18"/>
      <c r="E21" s="18"/>
      <c r="F21" s="18"/>
    </row>
    <row r="22" spans="1:6" x14ac:dyDescent="0.2">
      <c r="A22" s="9" t="s">
        <v>224</v>
      </c>
      <c r="B22" s="18" t="s">
        <v>225</v>
      </c>
      <c r="C22" s="18"/>
      <c r="D22" s="18"/>
      <c r="E22" s="18"/>
      <c r="F22" s="18"/>
    </row>
    <row r="23" spans="1:6" x14ac:dyDescent="0.2">
      <c r="A23" s="9" t="s">
        <v>226</v>
      </c>
      <c r="B23" s="18" t="s">
        <v>227</v>
      </c>
      <c r="C23" s="18"/>
      <c r="D23" s="18"/>
      <c r="E23" s="18"/>
      <c r="F23" s="18"/>
    </row>
  </sheetData>
  <mergeCells count="9">
    <mergeCell ref="B20:F20"/>
    <mergeCell ref="B21:F21"/>
    <mergeCell ref="B22:F22"/>
    <mergeCell ref="B23:F23"/>
    <mergeCell ref="A1:F1"/>
    <mergeCell ref="A16:F16"/>
    <mergeCell ref="B17:F17"/>
    <mergeCell ref="B18:F18"/>
    <mergeCell ref="B19:F19"/>
  </mergeCell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Feedback Checklist</vt:lpstr>
      <vt:lpstr>Summary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karn chw</cp:lastModifiedBy>
  <cp:revision>0</cp:revision>
  <dcterms:created xsi:type="dcterms:W3CDTF">2026-04-06T06:20:10Z</dcterms:created>
  <dcterms:modified xsi:type="dcterms:W3CDTF">2026-04-06T07:17:38Z</dcterms:modified>
  <dc:language>en-US</dc:language>
</cp:coreProperties>
</file>