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nk-lamy/Desktop/Coding/YTY Project/"/>
    </mc:Choice>
  </mc:AlternateContent>
  <xr:revisionPtr revIDLastSave="0" documentId="13_ncr:1_{D6BA0490-2EA0-4D41-A05A-9A71AEFB0F66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Full Checklist" sheetId="1" r:id="rId1"/>
    <sheet name="Summary" sheetId="2" r:id="rId2"/>
    <sheet name="Status Colors" sheetId="3" r:id="rId3"/>
  </sheets>
  <definedNames>
    <definedName name="_xlnm._FilterDatabase" localSheetId="0" hidden="1">'Full Checklist'!$A$4:$L$60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8" i="2"/>
  <c r="C7" i="2"/>
  <c r="C6" i="2"/>
  <c r="C5" i="2"/>
  <c r="C4" i="2"/>
  <c r="D6" i="2" l="1"/>
  <c r="C9" i="2"/>
  <c r="D5" i="2"/>
  <c r="D7" i="2"/>
  <c r="C16" i="2"/>
  <c r="D8" i="2"/>
  <c r="D4" i="2"/>
</calcChain>
</file>

<file path=xl/sharedStrings.xml><?xml version="1.0" encoding="utf-8"?>
<sst xmlns="http://schemas.openxmlformats.org/spreadsheetml/2006/main" count="666" uniqueCount="297">
  <si>
    <t>Feedback Checklist ฉบับสมบูรณ์ — เทียบ 3 แหล่งข้อมูล (PPTX + MD + Voice Transcript)</t>
  </si>
  <si>
    <t>สถานะ: ครบทุกแหล่ง(เขียว) | MD+PPTX เท่านั้น(เหลือง) | Voice เพิ่มรายละเอียด(ส้ม) | Voice ขัดแย้ง/แก้ไข(แดง) | Voice only ใหม่(ฟ้า)</t>
  </si>
  <si>
    <t>No.</t>
  </si>
  <si>
    <t>รหัส</t>
  </si>
  <si>
    <t>กลุ่ม</t>
  </si>
  <si>
    <t>หัวข้อ/หน้า</t>
  </si>
  <si>
    <t>Slide</t>
  </si>
  <si>
    <t>รายละเอียด (MD)</t>
  </si>
  <si>
    <t>รายละเอียดเพิ่มจาก Voice</t>
  </si>
  <si>
    <t>สถานะเทียบ</t>
  </si>
  <si>
    <t>Priority</t>
  </si>
  <si>
    <t>Sprint</t>
  </si>
  <si>
    <t>Assignee</t>
  </si>
  <si>
    <t>Comment</t>
  </si>
  <si>
    <t>U01</t>
  </si>
  <si>
    <t>UI/UX</t>
  </si>
  <si>
    <t>Login</t>
  </si>
  <si>
    <t>1</t>
  </si>
  <si>
    <t>เปลี่ยน Title จาก "Frontend" เป็น "IT Project System"</t>
  </si>
  <si>
    <t>ปรับแก้แถบ Title ด้านบนและแก้ไขบั๊ก Frontend ให้แสดงผลถูกต้อง</t>
  </si>
  <si>
    <t>ครบทุกแหล่ง</t>
  </si>
  <si>
    <t>P2</t>
  </si>
  <si>
    <t>U02</t>
  </si>
  <si>
    <t>Forgot Password กดแล้วเจอ 404 — ถ้ายังใช้ไม่ได้ให้ลบลิงก์ออก</t>
  </si>
  <si>
    <t>—</t>
  </si>
  <si>
    <t>MD+PPTX</t>
  </si>
  <si>
    <t>F01</t>
  </si>
  <si>
    <t>New Feature</t>
  </si>
  <si>
    <t>Forgot Password ให้มีการส่ง mail เข้า Email เพื่อตั้ง password ใหม่</t>
  </si>
  <si>
    <t>3</t>
  </si>
  <si>
    <t>U03</t>
  </si>
  <si>
    <t>Dashboard</t>
  </si>
  <si>
    <t>2</t>
  </si>
  <si>
    <t>เปลี่ยน logo เป็น logo เสนา</t>
  </si>
  <si>
    <t>เปลี่ยนโลโก้ระบบเป็นโลโก้ของ "เสนา" (Sena)</t>
  </si>
  <si>
    <t>U04</t>
  </si>
  <si>
    <t>เปลี่ยนคำว่า "Welcome back" เป็น "Dashboard"</t>
  </si>
  <si>
    <t>นำคำว่า "Welcome back" ออก เพื่อความสวยงาม (Voice ไม่ได้บอกเปลี่ยนเป็น "Dashboard" แค่ให้ลบออก)</t>
  </si>
  <si>
    <t>Voice เพิ่มรายละเอียด</t>
  </si>
  <si>
    <t>U05</t>
  </si>
  <si>
    <t>Quick Access ล้นจอขวา — ย้ายลงล่างต่อจาก Recent Projects</t>
  </si>
  <si>
    <t>ปรับ Layout ให้พอดี (Fit Screen) ส่วน Quick Access และ Team Activity ไม่ต้องเลื่อน Scroll bar</t>
  </si>
  <si>
    <t>P1</t>
  </si>
  <si>
    <t>U06</t>
  </si>
  <si>
    <t>Team Activity ล้นจอขวา — ย้ายลงล่างต่อจาก My Active Tasks</t>
  </si>
  <si>
    <t>(รวมกับ U05 ในจุดเดียวกัน)</t>
  </si>
  <si>
    <t>U07</t>
  </si>
  <si>
    <t>ใส่คำว่า "IT Overall" เป็น header section</t>
  </si>
  <si>
    <t>Voice: เปลี่ยน "Total Project" → "Overall" / MD: "IT Overall"</t>
  </si>
  <si>
    <t>U08</t>
  </si>
  <si>
    <t>กรอบสีขาวและลดขนาดลงเพื่อประหยัดพื้นที่</t>
  </si>
  <si>
    <t>U09</t>
  </si>
  <si>
    <t>เปลี่ยน label เป็น "View My Projects"</t>
  </si>
  <si>
    <t>เปลี่ยนป้ายกำกับ (Label) เป็น "View my project"</t>
  </si>
  <si>
    <t>U10</t>
  </si>
  <si>
    <t>Sidebar</t>
  </si>
  <si>
    <t>ต้องสามารถกดย่อ (&lt;&lt;) หรือขยาย (&gt;&gt;) เมนู Sidebar ได้</t>
  </si>
  <si>
    <t>V01</t>
  </si>
  <si>
    <t>(ไม่มีใน MD)</t>
  </si>
  <si>
    <t>เปลี่ยนป้ายกำกับ "IT tracking 2026" → "Total IT project" ตัวหนาสีดำ จัดวาง 2 เลเยอร์ด้านล่างแบบตัวหนา</t>
  </si>
  <si>
    <t>Voice only (ใหม่)</t>
  </si>
  <si>
    <t>U11</t>
  </si>
  <si>
    <t>Projects/Timeline</t>
  </si>
  <si>
    <t>4</t>
  </si>
  <si>
    <t>เปลี่ยนแถบสีของ plan ให้เป็นแบบเดียวตาม Project</t>
  </si>
  <si>
    <t>กำหนดมาตรฐานสีตรงกันทั้งหมด (Voice ระบุสีชัดเจน)</t>
  </si>
  <si>
    <t>U12</t>
  </si>
  <si>
    <t>เปลี่ยนแถบสีของสถานะให้ตรงกับ Active, Delay, Complete, Hold, Cancelled</t>
  </si>
  <si>
    <t>Voice ระบุสีละเอียด: Plan/Pending=ฟ้า(เปลี่ยนจากแดงเพราะดูรุนแรง), Active=เขียว, Delay=แดง, Complete=น้ำเงิน, Hold=เหลือง, Cancel=เทา</t>
  </si>
  <si>
    <t>U13</t>
  </si>
  <si>
    <t>ตัวเลขขอให้เป็นตัวหนาและสีดำ</t>
  </si>
  <si>
    <t>ตัวหนาสีดำ (ตรงกัน)</t>
  </si>
  <si>
    <t>D01</t>
  </si>
  <si>
    <t>Data/Architecture</t>
  </si>
  <si>
    <t>ขาดกลุ่มงาน "Infrastructure and Network" ของฝั่งพี่เบิร์ด</t>
  </si>
  <si>
    <t>U15</t>
  </si>
  <si>
    <t>My Projects</t>
  </si>
  <si>
    <t>5</t>
  </si>
  <si>
    <t>แก้ไข title ของ page ตามหน้านั้นๆ เช่น "My Projects"</t>
  </si>
  <si>
    <t>U16</t>
  </si>
  <si>
    <t>เติม label ด้านหน้าเขียนว่า "Project Status :"</t>
  </si>
  <si>
    <t>F02</t>
  </si>
  <si>
    <t>เพิ่ม menu "My Projects" ใน Sidebar</t>
  </si>
  <si>
    <t>เพิ่มเมนู "My Project" (ตรงกัน)</t>
  </si>
  <si>
    <t>F03</t>
  </si>
  <si>
    <t>สร้างหน้า My Projects — แสดงเฉพาะ project ที่เราเป็น Member พร้อมตัวเลข stat</t>
  </si>
  <si>
    <t>แสดงตัวเลขเฉพาะสเตตัสงานที่ผู้ใช้รับผิดชอบ + Checkbox กรองดูตามสถานะ</t>
  </si>
  <si>
    <t>R03</t>
  </si>
  <si>
    <t>Role &amp; Permission</t>
  </si>
  <si>
    <t>My Projects ต้องเห็นเฉพาะ project ที่เราเป็น Member</t>
  </si>
  <si>
    <t>(รวมอยู่ใน Role &amp; Permission ด้านล่าง)</t>
  </si>
  <si>
    <t>P0</t>
  </si>
  <si>
    <t>U14</t>
  </si>
  <si>
    <t>6</t>
  </si>
  <si>
    <t>ขีดสีด้านหน้า List View ต้องแสดงตรงตามสถานะ Project</t>
  </si>
  <si>
    <t>(ตรงกับ Status Colors standard)</t>
  </si>
  <si>
    <t>F04</t>
  </si>
  <si>
    <t>My Tasks</t>
  </si>
  <si>
    <t>7</t>
  </si>
  <si>
    <t>เปลี่ยนสี status ใหม่ + เพิ่มสถานะ "Overdue"</t>
  </si>
  <si>
    <t>R02</t>
  </si>
  <si>
    <t>Member เห็นเฉพาะ Task ที่ assign ตัวเอง / Admin เห็นทุก Task</t>
  </si>
  <si>
    <t>Voice ระบุ 3 ระดับ: Admin=เห็นทุกอย่าง, Manager=เห็นเฉพาะลูกน้องในทีม, Member=เห็นเฉพาะงานตัวเอง</t>
  </si>
  <si>
    <t>V02</t>
  </si>
  <si>
    <t>ทุกหน้า</t>
  </si>
  <si>
    <t>2,7</t>
  </si>
  <si>
    <t>MD: มีแค่ Admin / Member 2 ระดับ</t>
  </si>
  <si>
    <t>Voice เพิ่ม Manager level: เห็นเฉพาะงานลูกน้องในทีม ไม่เห็นงาน Manager ทีมอื่น (3-tier: Admin &gt; Manager &gt; Member)</t>
  </si>
  <si>
    <t>V03</t>
  </si>
  <si>
    <t>Member จะไม่เห็นงานของเพื่อนร่วมทีม เพื่อป้องกันปัญหาการเปรียบเทียบปริมาณงานกัน (Business reason)</t>
  </si>
  <si>
    <t>F05</t>
  </si>
  <si>
    <t>7,9</t>
  </si>
  <si>
    <t>เพิ่ม List View ตาราง: Task Name, Assignee, Start/Due Date, Priority + sorting ASC/DESC</t>
  </si>
  <si>
    <t>สร้างตารางต้นแบบจาก ClickUp + ลากเปลี่ยนสถานะการ์ดได้</t>
  </si>
  <si>
    <t>F08</t>
  </si>
  <si>
    <t>Task Status</t>
  </si>
  <si>
    <t>8</t>
  </si>
  <si>
    <t>ย้าย task status ต้องใส่ comment เสมอ (mandatory)</t>
  </si>
  <si>
    <t>ถ้าไม่กรอกจะไม่สามารถย้ายงานได้ พร้อมเก็บ Log วันที่ เวลา ผู้ที่ทำการย้าย</t>
  </si>
  <si>
    <t>F09</t>
  </si>
  <si>
    <t>เก็บ History log ทุกครั้ง — stamp ชื่อ user, วันที่, เวลา + note comment</t>
  </si>
  <si>
    <t>(ตรงกัน)</t>
  </si>
  <si>
    <t>F10</t>
  </si>
  <si>
    <t>Hold/Cancelled ต้องดู logic คำนวณเวลา project</t>
  </si>
  <si>
    <t>Voice ระบุชัดเจนกว่ามาก — แยกเป็น 2 กฎ (ดู V04, V05)</t>
  </si>
  <si>
    <t>V04</t>
  </si>
  <si>
    <t>Logic/Rules</t>
  </si>
  <si>
    <t>(ไม่มีใน MD — เป็นรายละเอียดใหม่)</t>
  </si>
  <si>
    <t>Hold Logic: เมื่อ Hold ระบบหยุดนับเวลา / ถ้า Delay ก่อน Hold ก็นับ Delay แค่ถึงจุดนั้น</t>
  </si>
  <si>
    <t>V05</t>
  </si>
  <si>
    <t>Cancel Logic: ล้างค่าเวลา Delay ทิ้ง (ไม่กระทบ KPI พนักงาน) แต่เก็บ Log ว่าลงแรงทำแล้ว สำหรับรายงาน ผบห.</t>
  </si>
  <si>
    <t>F06</t>
  </si>
  <si>
    <t>9</t>
  </si>
  <si>
    <t>Filter หลายเงื่อนไข: Task Status, Priority, Tags (แบบ ClickUp)</t>
  </si>
  <si>
    <t>F07</t>
  </si>
  <si>
    <t>เลื่อนสลับ status column ขึ้นบน/ลงล่างได้ (แบบ ClickUp)</t>
  </si>
  <si>
    <t>P3</t>
  </si>
  <si>
    <t>U17</t>
  </si>
  <si>
    <t>Task Detail</t>
  </si>
  <si>
    <t>10</t>
  </si>
  <si>
    <t>ย้าย Daily Updates ขึ้นต่อจาก Description + เส้นคั่น section</t>
  </si>
  <si>
    <t>F11</t>
  </si>
  <si>
    <t>11</t>
  </si>
  <si>
    <t>ลบ "Current Status" และ "Progress (%)" ออก</t>
  </si>
  <si>
    <t>ลบ Current Status + Progress % ออก (ตรงกัน)</t>
  </si>
  <si>
    <t>F12</t>
  </si>
  <si>
    <t>แก้ label ปุ่มเหลือแค่ "Update"</t>
  </si>
  <si>
    <t>ปุ่ม Submit → "Update" เมื่อกด auto-save + แสดงประวัติเป็นตัวอักษรสีจางๆ (Log วัน/เวลา)</t>
  </si>
  <si>
    <t>F13</t>
  </si>
  <si>
    <t>แนบไฟล์ได้ &gt;1 ไฟล์ รวมทุกไฟล์ไม่เกิน 20 MB ต่อ 1 Notes</t>
  </si>
  <si>
    <t>Voice: ≤20MB ต่อไฟล์ (ไม่ใช่ต่อ Notes) / รองรับ PDF, รูปภาพ, Excel, Video</t>
  </si>
  <si>
    <t>Voice ขัดแย้ง/แก้ไข</t>
  </si>
  <si>
    <t>V06</t>
  </si>
  <si>
    <t>ช่องบันทึก Note บังคับกรอก (ดอกจันแดง) — mandatory field</t>
  </si>
  <si>
    <t>F14</t>
  </si>
  <si>
    <t>Subtask</t>
  </si>
  <si>
    <t>12</t>
  </si>
  <si>
    <t>Subtask มี start/due date + assign คนรับผิดชอบ (ไม่มี Tag)</t>
  </si>
  <si>
    <t>F15</t>
  </si>
  <si>
    <t>Subtask/Tag</t>
  </si>
  <si>
    <t>Create, Edit, Delete tag ได้ + apply ทั้งหมด + ใส่สี tag</t>
  </si>
  <si>
    <t>Tag มีไว้จัดกลุ่มระดับ Task หลักเท่านั้น ไม่มีใน Sub-Task</t>
  </si>
  <si>
    <t>F16</t>
  </si>
  <si>
    <t>แก้ปุ่ม "Convert to Task" → "Move to task"</t>
  </si>
  <si>
    <t>ยกระดับ Sub-Task ขึ้นเป็น Task หลักได้</t>
  </si>
  <si>
    <t>D04</t>
  </si>
  <si>
    <t>Subtask ไม่ต้องมี Tag (inherit จาก parent task)</t>
  </si>
  <si>
    <t>V07</t>
  </si>
  <si>
    <t>ต้องปิด (Complete) Sub-Task ย่อยให้หมดก่อน จึงจะปิด Task ใหญ่ได้</t>
  </si>
  <si>
    <t>V08</t>
  </si>
  <si>
    <t>หาก Sub-Task ขยายเวลา (Delay) ระบบแจ้งเตือนให้ไปปรับเวลา Task ใหญ่ด้วย</t>
  </si>
  <si>
    <t>U18</t>
  </si>
  <si>
    <t>Gantt</t>
  </si>
  <si>
    <t>13</t>
  </si>
  <si>
    <t>Time Remaining ไม่ต้องหมุน + กล่องจัดเรียงเหลือ 1 บรรทัด</t>
  </si>
  <si>
    <t>ตัดกราฟิกตัวโหลด (หมุนๆ) ออก จัดเรียงเหลือ 1 บรรทัด/งาน</t>
  </si>
  <si>
    <t>F17</t>
  </si>
  <si>
    <t>drag ขยับวัน + auto update + revision activity + hover 3 last activity</t>
  </si>
  <si>
    <t>ลากปรับเวลาเริ่ม-จบจากไทม์ไลน์โดยตรง + hover แสดงประวัติ 3 ลำดับล่าสุด + แสดงสีตามสถานะ</t>
  </si>
  <si>
    <t>D03</t>
  </si>
  <si>
    <t>Activity log ครบถ้วน — เก็บ user, วันที่, เวลา</t>
  </si>
  <si>
    <t>U19</t>
  </si>
  <si>
    <t>Calendar</t>
  </si>
  <si>
    <t>14</t>
  </si>
  <si>
    <t>ตัด 2 กล่อง stat ด้านบนออก</t>
  </si>
  <si>
    <t>นำตารางสรุปผลรวมด้านบนออก</t>
  </si>
  <si>
    <t>F18</t>
  </si>
  <si>
    <t>แสดงสีตามสถานะ + Filter (Status, Tags, Priority) + ยิง Zimbra email (ถ้าทำได้)</t>
  </si>
  <si>
    <t>Voice: แบ่งสีตามสถานะ + Filter ตาม Priority/Tag ได้ (ตรงกัน) แต่เรื่อง email ดูข้อ V09</t>
  </si>
  <si>
    <t>V09</t>
  </si>
  <si>
    <t>Notification</t>
  </si>
  <si>
    <t>MD: ยิง calendar email Zimbra (ถ้าทำได้)</t>
  </si>
  <si>
    <t>Voice ขัดแย้ง: ไม่ส่งอีเมลทุกครั้ง (ลดอีเมลขยะ) → ใช้ระบบกระดิ่งแจ้งเตือน (Notification) แทน เมื่อ Assign งานใหม่</t>
  </si>
  <si>
    <t>D02</t>
  </si>
  <si>
    <t>Projects</t>
  </si>
  <si>
    <t>15</t>
  </si>
  <si>
    <t>แยกประเภท Project: (1) report ผบห. มีคำนวณ % (2) Internal project</t>
  </si>
  <si>
    <t>แยกเมนูใหม่ 1 เมนู สำหรับ Internal project (งานจิปาถะ ไม่รวม KPI ผบห.) Manager สร้าง+กำหนด Member</t>
  </si>
  <si>
    <t>R04</t>
  </si>
  <si>
    <t>Manager สร้าง project + tag user member เข้ากลุ่ม</t>
  </si>
  <si>
    <t>Manager ต้องเป็นคนสร้าง Project + กำหนด Member ให้ เพื่อควบคุมไม่ให้พนักงานเห็นงานอิสระของกันและกัน</t>
  </si>
  <si>
    <t>R05</t>
  </si>
  <si>
    <t>Tasks</t>
  </si>
  <si>
    <t>Member สร้าง Task ได้เอง เพื่อ tracking งานภายใน</t>
  </si>
  <si>
    <t>D05</t>
  </si>
  <si>
    <t>ทั้งระบบ</t>
  </si>
  <si>
    <t>Responsive web: PC, Notebook, Tablet, iPad</t>
  </si>
  <si>
    <t>Voice: PC, Notebook, iPad เท่านั้น — ยกเว้น iPhone/มือถือ (หน้าจอเล็กเกินสำหรับจัดการตารางงาน)</t>
  </si>
  <si>
    <t>สรุปผลการเทียบ 3 แหล่งข้อมูล</t>
  </si>
  <si>
    <t>คำอธิบาย</t>
  </si>
  <si>
    <t>จำนวน</t>
  </si>
  <si>
    <t>%</t>
  </si>
  <si>
    <t>MD + PPTX + Voice ตรงกัน</t>
  </si>
  <si>
    <t>มีใน MD และ PPTX แต่ Voice ไม่ได้กล่าวถึง</t>
  </si>
  <si>
    <t>MD/PPTX มีแต่ Voice ให้รายละเอียดเพิ่มเติม</t>
  </si>
  <si>
    <t>Voice ให้ข้อมูลต่างจาก MD/PPTX (ต้องยึด Voice)</t>
  </si>
  <si>
    <t>มีเฉพาะใน Voice เท่านั้น ไม่มีใน MD หรือ PPTX</t>
  </si>
  <si>
    <t>รวม</t>
  </si>
  <si>
    <t>Level</t>
  </si>
  <si>
    <t>Critical</t>
  </si>
  <si>
    <t>High</t>
  </si>
  <si>
    <t>Medium</t>
  </si>
  <si>
    <t>Low</t>
  </si>
  <si>
    <t>ข้อค้นพบสำคัญจาก Voice Transcript (ต่างจาก MD/PPTX)</t>
  </si>
  <si>
    <t>รหัส/ข้อ</t>
  </si>
  <si>
    <t>รายละเอียด</t>
  </si>
  <si>
    <t>ผลกระทบ / Action</t>
  </si>
  <si>
    <t>Role 3 ระดับ (V02)</t>
  </si>
  <si>
    <t>Voice เพิ่ม Manager level ที่ MD ไม่มี → Admin &gt; Manager &gt; Member</t>
  </si>
  <si>
    <t>P0 — ต้องออกแบบ DB + middleware ใหม่</t>
  </si>
  <si>
    <t>เหตุผลซ่อนงาน (V03)</t>
  </si>
  <si>
    <t>Member ไม่เห็นงานเพื่อนร่วมทีม เพื่อป้องกันเปรียบเทียบปริมาณงาน</t>
  </si>
  <si>
    <t>P0 — Business requirement สำคัญ</t>
  </si>
  <si>
    <t>Hold Logic (V04)</t>
  </si>
  <si>
    <t>หยุดนับเวลาทันที / ถ้า Delay ก่อน Hold นับ Delay แค่ถึงจุด Hold</t>
  </si>
  <si>
    <t>P1 — ต้องเขียน logic คำนวณ</t>
  </si>
  <si>
    <t>Cancel Logic (V05)</t>
  </si>
  <si>
    <t>ล้าง Delay ไม่กระทบ KPI แต่เก็บ Log สำหรับรายงาน ผบห.</t>
  </si>
  <si>
    <t>P0 — กระทบ KPI calculation</t>
  </si>
  <si>
    <t>แนบไฟล์ (F13)</t>
  </si>
  <si>
    <t>Voice: ≤20MB ต่อไฟล์ (ไม่ใช่รวมทั้งหมด) ขัดกับ MD ที่ว่า "รวม ≤20MB"</t>
  </si>
  <si>
    <t>ต้องยืนยัน — ยึด Voice เป็นหลัก</t>
  </si>
  <si>
    <t>Notification แทน Email (V09)</t>
  </si>
  <si>
    <t>Voice: ไม่ส่ง email (ลดขยะ) → ใช้กระดิ่งแจ้งเตือนแทน / MD: ยิง Zimbra</t>
  </si>
  <si>
    <t>ยกเลิก Zimbra integration → ทำ in-app notification</t>
  </si>
  <si>
    <t>Responsive (D05)</t>
  </si>
  <si>
    <t>Voice: iPad เท่านั้น ไม่รวม iPhone / MD: Tablet, iPad ทั้งคู่</t>
  </si>
  <si>
    <t>ยึด Voice — ไม่ต้องรองรับมือถือ</t>
  </si>
  <si>
    <t>Subtask ปิดก่อน (V07)</t>
  </si>
  <si>
    <t>ต้อง Complete Sub-Task ทั้งหมดก่อนปิด Task ใหญ่</t>
  </si>
  <si>
    <t>ต้องเพิ่ม validation logic</t>
  </si>
  <si>
    <t>Subtask delay alert (V08)</t>
  </si>
  <si>
    <t>Sub-Task delay → แจ้งเตือนให้ปรับเวลา Task ใหญ่</t>
  </si>
  <si>
    <t>ต้องเพิ่ม notification trigger</t>
  </si>
  <si>
    <t>Note mandatory (V06)</t>
  </si>
  <si>
    <t>ช่อง Note ใน Daily Update บังคับกรอก (ดอกจันแดง)</t>
  </si>
  <si>
    <t>ต้อง validate required field</t>
  </si>
  <si>
    <t>Auto-save + History (F12)</t>
  </si>
  <si>
    <t>กด Update → auto-save + แสดง log เป็นตัวอักษรสีจาง</t>
  </si>
  <si>
    <t>UX detail ใหม่</t>
  </si>
  <si>
    <t>Label "Total IT project" (V01)</t>
  </si>
  <si>
    <t>เปลี่ยน "IT tracking 2026" → "Total IT project" ตัวหนา 2 เลเยอร์</t>
  </si>
  <si>
    <t>CSS/layout change</t>
  </si>
  <si>
    <t>มาตรฐานสีสถานะ (จาก Voice Transcript)</t>
  </si>
  <si>
    <t>Status</t>
  </si>
  <si>
    <t>สี</t>
  </si>
  <si>
    <t>Hex Code</t>
  </si>
  <si>
    <t>หมายเหตุ</t>
  </si>
  <si>
    <t>Plan / Pending</t>
  </si>
  <si>
    <t>ฟ้า</t>
  </si>
  <si>
    <t>4FC3F7</t>
  </si>
  <si>
    <t>เปลี่ยนจากสีแดง — ดูแจ้งเตือนรุนแรงเกินไป</t>
  </si>
  <si>
    <t>Active</t>
  </si>
  <si>
    <t>เขียว</t>
  </si>
  <si>
    <t>66BB6A</t>
  </si>
  <si>
    <t>Delay</t>
  </si>
  <si>
    <t>แดง</t>
  </si>
  <si>
    <t>EF5350</t>
  </si>
  <si>
    <t>Complete</t>
  </si>
  <si>
    <t>น้ำเงิน</t>
  </si>
  <si>
    <t>42A5F5</t>
  </si>
  <si>
    <t>Hold</t>
  </si>
  <si>
    <t>เหลือง</t>
  </si>
  <si>
    <t>FFEE58</t>
  </si>
  <si>
    <t>Cancel</t>
  </si>
  <si>
    <t>เทา</t>
  </si>
  <si>
    <t>BDBDBD</t>
  </si>
  <si>
    <t>diasble เรื่องforgot password menuนี้ไป ให้ใช้role admin เข้าไปแก้ไขpassword เอง</t>
  </si>
  <si>
    <t>ให้ai agent ใช้รูป SenaDlogo.png ในfolder PIC ของ Projectนี้</t>
  </si>
  <si>
    <t>4 กล่องนี้ ไม่ต้องใส่สี ให้เป็นแบบเดียวกันกับตัวด้านหน้า (กล่อง Total project)</t>
  </si>
  <si>
    <t>ทุกคนเห็นหน้า Dashboard จำนวน Project เท่ากันหมด จะต้อง ตรวจสอบระบบ เรื่อง Role Admin, Member ใหม่ ให้เห็นตามสิทธิ์ของตัวเองเท่านั้น</t>
  </si>
  <si>
    <t>U06.5</t>
  </si>
  <si>
    <t>ดำเนินการได้</t>
  </si>
  <si>
    <t>ทำเพิ่มอีกครั้งเป็น priorityท้าย</t>
  </si>
  <si>
    <t>ต่อ1 file 20 mb</t>
  </si>
  <si>
    <t>ไม่เอาเรื่องemail ที่เหลือดำเนินการได้</t>
  </si>
  <si>
    <t>Responsive web: PC, Notebook, Tablet, iPad ไม่เอา มือถือ และไว้priority ท้ายสุด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</si>
</sst>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2F5496"/>
      <name val="Arial"/>
      <family val="2"/>
    </font>
    <font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2F549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FEE58"/>
      </patternFill>
    </fill>
    <fill>
      <patternFill patternType="solid">
        <fgColor rgb="FFF4B084"/>
        <bgColor rgb="FFFFC7CE"/>
      </patternFill>
    </fill>
    <fill>
      <patternFill patternType="solid">
        <fgColor rgb="FFD9E2F3"/>
        <bgColor rgb="FFDDEBF7"/>
      </patternFill>
    </fill>
    <fill>
      <patternFill patternType="solid">
        <fgColor rgb="FFFFC7CE"/>
        <bgColor rgb="FFFFE699"/>
      </patternFill>
    </fill>
    <fill>
      <patternFill patternType="solid">
        <fgColor rgb="FFDDEBF7"/>
        <bgColor rgb="FFD9E2F3"/>
      </patternFill>
    </fill>
    <fill>
      <patternFill patternType="solid">
        <fgColor rgb="FF4FC3F7"/>
        <bgColor rgb="FF42A5F5"/>
      </patternFill>
    </fill>
    <fill>
      <patternFill patternType="solid">
        <fgColor rgb="FF66BB6A"/>
        <bgColor rgb="FF969696"/>
      </patternFill>
    </fill>
    <fill>
      <patternFill patternType="solid">
        <fgColor rgb="FFEF5350"/>
        <bgColor rgb="FFFF8080"/>
      </patternFill>
    </fill>
    <fill>
      <patternFill patternType="solid">
        <fgColor rgb="FF42A5F5"/>
        <bgColor rgb="FF4FC3F7"/>
      </patternFill>
    </fill>
    <fill>
      <patternFill patternType="solid">
        <fgColor rgb="FFFFEE58"/>
        <bgColor rgb="FFFFE699"/>
      </patternFill>
    </fill>
    <fill>
      <patternFill patternType="solid">
        <fgColor rgb="FFBDBDBD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0" borderId="0" xfId="0" applyFon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E5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2A5F5"/>
      <rgbColor rgb="FFCCFFFF"/>
      <rgbColor rgb="FFC6EFCE"/>
      <rgbColor rgb="FFFFE699"/>
      <rgbColor rgb="FF99CCFF"/>
      <rgbColor rgb="FFF4B084"/>
      <rgbColor rgb="FFCC99FF"/>
      <rgbColor rgb="FFFFC7CE"/>
      <rgbColor rgb="FF3366FF"/>
      <rgbColor rgb="FF4FC3F7"/>
      <rgbColor rgb="FF99CC00"/>
      <rgbColor rgb="FFFFCC00"/>
      <rgbColor rgb="FFFF9900"/>
      <rgbColor rgb="FFEF5350"/>
      <rgbColor rgb="FF666666"/>
      <rgbColor rgb="FF969696"/>
      <rgbColor rgb="FF003366"/>
      <rgbColor rgb="FF66BB6A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zoomScale="130" zoomScaleNormal="130" workbookViewId="0">
      <pane ySplit="4" topLeftCell="A42" activePane="bottomLeft" state="frozen"/>
      <selection pane="bottomLeft" activeCell="L61" sqref="L61"/>
    </sheetView>
  </sheetViews>
  <sheetFormatPr baseColWidth="10" defaultColWidth="8.6640625" defaultRowHeight="15" x14ac:dyDescent="0.2"/>
  <cols>
    <col min="1" max="1" width="5" customWidth="1"/>
    <col min="2" max="2" width="7" customWidth="1"/>
    <col min="3" max="4" width="16" customWidth="1"/>
    <col min="5" max="5" width="7" customWidth="1"/>
    <col min="6" max="6" width="50" customWidth="1"/>
    <col min="7" max="7" width="55" customWidth="1"/>
    <col min="8" max="8" width="49.5" customWidth="1"/>
    <col min="9" max="10" width="8" customWidth="1"/>
    <col min="11" max="11" width="12" customWidth="1"/>
    <col min="12" max="12" width="28" customWidth="1"/>
  </cols>
  <sheetData>
    <row r="1" spans="1:12" ht="27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42" customHeight="1" x14ac:dyDescent="0.2">
      <c r="A5" s="5">
        <v>1</v>
      </c>
      <c r="B5" s="5" t="s">
        <v>14</v>
      </c>
      <c r="C5" s="6" t="s">
        <v>15</v>
      </c>
      <c r="D5" s="6" t="s">
        <v>16</v>
      </c>
      <c r="E5" s="5" t="s">
        <v>17</v>
      </c>
      <c r="F5" s="6" t="s">
        <v>18</v>
      </c>
      <c r="G5" s="6" t="s">
        <v>19</v>
      </c>
      <c r="H5" s="7" t="s">
        <v>20</v>
      </c>
      <c r="I5" s="7" t="s">
        <v>21</v>
      </c>
      <c r="J5" s="5" t="s">
        <v>17</v>
      </c>
      <c r="K5" s="6"/>
      <c r="L5" s="28" t="s">
        <v>292</v>
      </c>
    </row>
    <row r="6" spans="1:12" ht="42" customHeight="1" x14ac:dyDescent="0.2">
      <c r="A6" s="5">
        <v>2</v>
      </c>
      <c r="B6" s="5" t="s">
        <v>22</v>
      </c>
      <c r="C6" s="6" t="s">
        <v>15</v>
      </c>
      <c r="D6" s="6" t="s">
        <v>16</v>
      </c>
      <c r="E6" s="5" t="s">
        <v>17</v>
      </c>
      <c r="F6" s="6" t="s">
        <v>23</v>
      </c>
      <c r="G6" s="6" t="s">
        <v>24</v>
      </c>
      <c r="H6" s="8" t="s">
        <v>25</v>
      </c>
      <c r="I6" s="7" t="s">
        <v>21</v>
      </c>
      <c r="J6" s="5" t="s">
        <v>17</v>
      </c>
      <c r="K6" s="6"/>
      <c r="L6" s="26" t="s">
        <v>287</v>
      </c>
    </row>
    <row r="7" spans="1:12" ht="42" customHeight="1" x14ac:dyDescent="0.2">
      <c r="A7" s="5">
        <v>3</v>
      </c>
      <c r="B7" s="5" t="s">
        <v>26</v>
      </c>
      <c r="C7" s="6" t="s">
        <v>27</v>
      </c>
      <c r="D7" s="6" t="s">
        <v>16</v>
      </c>
      <c r="E7" s="5" t="s">
        <v>17</v>
      </c>
      <c r="F7" s="6" t="s">
        <v>28</v>
      </c>
      <c r="G7" s="6" t="s">
        <v>24</v>
      </c>
      <c r="H7" s="8" t="s">
        <v>25</v>
      </c>
      <c r="I7" s="7" t="s">
        <v>21</v>
      </c>
      <c r="J7" s="5" t="s">
        <v>29</v>
      </c>
      <c r="K7" s="6"/>
      <c r="L7" s="26" t="s">
        <v>287</v>
      </c>
    </row>
    <row r="8" spans="1:12" ht="42" customHeight="1" x14ac:dyDescent="0.2">
      <c r="A8" s="5">
        <v>4</v>
      </c>
      <c r="B8" s="5" t="s">
        <v>30</v>
      </c>
      <c r="C8" s="6" t="s">
        <v>15</v>
      </c>
      <c r="D8" s="6" t="s">
        <v>31</v>
      </c>
      <c r="E8" s="5" t="s">
        <v>32</v>
      </c>
      <c r="F8" s="6" t="s">
        <v>33</v>
      </c>
      <c r="G8" s="6" t="s">
        <v>34</v>
      </c>
      <c r="H8" s="7" t="s">
        <v>20</v>
      </c>
      <c r="I8" s="7" t="s">
        <v>21</v>
      </c>
      <c r="J8" s="5" t="s">
        <v>17</v>
      </c>
      <c r="K8" s="6"/>
      <c r="L8" s="26" t="s">
        <v>288</v>
      </c>
    </row>
    <row r="9" spans="1:12" ht="42" customHeight="1" x14ac:dyDescent="0.2">
      <c r="A9" s="5">
        <v>5</v>
      </c>
      <c r="B9" s="5" t="s">
        <v>35</v>
      </c>
      <c r="C9" s="6" t="s">
        <v>15</v>
      </c>
      <c r="D9" s="6" t="s">
        <v>31</v>
      </c>
      <c r="E9" s="5" t="s">
        <v>32</v>
      </c>
      <c r="F9" s="6" t="s">
        <v>36</v>
      </c>
      <c r="G9" s="6" t="s">
        <v>37</v>
      </c>
      <c r="H9" s="9" t="s">
        <v>38</v>
      </c>
      <c r="I9" s="7" t="s">
        <v>21</v>
      </c>
      <c r="J9" s="5" t="s">
        <v>17</v>
      </c>
      <c r="K9" s="6"/>
      <c r="L9" s="28" t="s">
        <v>292</v>
      </c>
    </row>
    <row r="10" spans="1:12" ht="42" customHeight="1" x14ac:dyDescent="0.2">
      <c r="A10" s="5">
        <v>6</v>
      </c>
      <c r="B10" s="5" t="s">
        <v>39</v>
      </c>
      <c r="C10" s="6" t="s">
        <v>15</v>
      </c>
      <c r="D10" s="6" t="s">
        <v>31</v>
      </c>
      <c r="E10" s="5" t="s">
        <v>32</v>
      </c>
      <c r="F10" s="6" t="s">
        <v>40</v>
      </c>
      <c r="G10" s="6" t="s">
        <v>41</v>
      </c>
      <c r="H10" s="7" t="s">
        <v>20</v>
      </c>
      <c r="I10" s="8" t="s">
        <v>42</v>
      </c>
      <c r="J10" s="5" t="s">
        <v>17</v>
      </c>
      <c r="K10" s="6"/>
      <c r="L10" s="28" t="s">
        <v>292</v>
      </c>
    </row>
    <row r="11" spans="1:12" ht="42" customHeight="1" x14ac:dyDescent="0.2">
      <c r="A11" s="5">
        <v>7</v>
      </c>
      <c r="B11" s="5" t="s">
        <v>43</v>
      </c>
      <c r="C11" s="6" t="s">
        <v>15</v>
      </c>
      <c r="D11" s="6" t="s">
        <v>31</v>
      </c>
      <c r="E11" s="5" t="s">
        <v>32</v>
      </c>
      <c r="F11" s="6" t="s">
        <v>44</v>
      </c>
      <c r="G11" s="6" t="s">
        <v>45</v>
      </c>
      <c r="H11" s="7" t="s">
        <v>20</v>
      </c>
      <c r="I11" s="8" t="s">
        <v>42</v>
      </c>
      <c r="J11" s="5" t="s">
        <v>17</v>
      </c>
      <c r="K11" s="6"/>
      <c r="L11" s="28" t="s">
        <v>292</v>
      </c>
    </row>
    <row r="12" spans="1:12" ht="42" customHeight="1" x14ac:dyDescent="0.2">
      <c r="A12" s="5">
        <v>8</v>
      </c>
      <c r="B12" s="27" t="s">
        <v>291</v>
      </c>
      <c r="C12" s="6" t="s">
        <v>15</v>
      </c>
      <c r="D12" s="26" t="s">
        <v>88</v>
      </c>
      <c r="E12" s="27" t="s">
        <v>32</v>
      </c>
      <c r="F12" s="26" t="s">
        <v>31</v>
      </c>
      <c r="G12" s="26" t="s">
        <v>290</v>
      </c>
      <c r="H12" s="7" t="s">
        <v>20</v>
      </c>
      <c r="I12" s="8" t="s">
        <v>42</v>
      </c>
      <c r="J12" s="5" t="s">
        <v>17</v>
      </c>
      <c r="K12" s="6"/>
      <c r="L12" s="28" t="s">
        <v>292</v>
      </c>
    </row>
    <row r="13" spans="1:12" ht="42" customHeight="1" x14ac:dyDescent="0.2">
      <c r="A13" s="5">
        <v>9</v>
      </c>
      <c r="B13" s="5" t="s">
        <v>46</v>
      </c>
      <c r="C13" s="6" t="s">
        <v>15</v>
      </c>
      <c r="D13" s="6" t="s">
        <v>31</v>
      </c>
      <c r="E13" s="5" t="s">
        <v>29</v>
      </c>
      <c r="F13" s="6" t="s">
        <v>47</v>
      </c>
      <c r="G13" s="6" t="s">
        <v>48</v>
      </c>
      <c r="H13" s="7" t="s">
        <v>20</v>
      </c>
      <c r="I13" s="7" t="s">
        <v>21</v>
      </c>
      <c r="J13" s="5" t="s">
        <v>17</v>
      </c>
      <c r="K13" s="6"/>
      <c r="L13" s="28" t="s">
        <v>292</v>
      </c>
    </row>
    <row r="14" spans="1:12" ht="42" customHeight="1" x14ac:dyDescent="0.2">
      <c r="A14" s="5">
        <v>10</v>
      </c>
      <c r="B14" s="5" t="s">
        <v>49</v>
      </c>
      <c r="C14" s="6" t="s">
        <v>15</v>
      </c>
      <c r="D14" s="6" t="s">
        <v>31</v>
      </c>
      <c r="E14" s="5" t="s">
        <v>29</v>
      </c>
      <c r="F14" s="26" t="s">
        <v>289</v>
      </c>
      <c r="G14" s="6" t="s">
        <v>50</v>
      </c>
      <c r="H14" s="9" t="s">
        <v>38</v>
      </c>
      <c r="I14" s="7" t="s">
        <v>21</v>
      </c>
      <c r="J14" s="5" t="s">
        <v>17</v>
      </c>
      <c r="K14" s="6"/>
      <c r="L14" s="28" t="s">
        <v>292</v>
      </c>
    </row>
    <row r="15" spans="1:12" ht="42" customHeight="1" x14ac:dyDescent="0.2">
      <c r="A15" s="5">
        <v>11</v>
      </c>
      <c r="B15" s="5" t="s">
        <v>51</v>
      </c>
      <c r="C15" s="6" t="s">
        <v>15</v>
      </c>
      <c r="D15" s="6" t="s">
        <v>31</v>
      </c>
      <c r="E15" s="5" t="s">
        <v>29</v>
      </c>
      <c r="F15" s="6" t="s">
        <v>52</v>
      </c>
      <c r="G15" s="6" t="s">
        <v>53</v>
      </c>
      <c r="H15" s="7" t="s">
        <v>20</v>
      </c>
      <c r="I15" s="7" t="s">
        <v>21</v>
      </c>
      <c r="J15" s="5" t="s">
        <v>17</v>
      </c>
      <c r="K15" s="6"/>
      <c r="L15" s="28" t="s">
        <v>292</v>
      </c>
    </row>
    <row r="16" spans="1:12" ht="42" customHeight="1" x14ac:dyDescent="0.2">
      <c r="A16" s="5">
        <v>12</v>
      </c>
      <c r="B16" s="5" t="s">
        <v>54</v>
      </c>
      <c r="C16" s="6" t="s">
        <v>15</v>
      </c>
      <c r="D16" s="6" t="s">
        <v>55</v>
      </c>
      <c r="E16" s="5" t="s">
        <v>29</v>
      </c>
      <c r="F16" s="6" t="s">
        <v>56</v>
      </c>
      <c r="G16" s="6" t="s">
        <v>24</v>
      </c>
      <c r="H16" s="8" t="s">
        <v>25</v>
      </c>
      <c r="I16" s="8" t="s">
        <v>42</v>
      </c>
      <c r="J16" s="5" t="s">
        <v>32</v>
      </c>
      <c r="K16" s="6"/>
      <c r="L16" s="28" t="s">
        <v>292</v>
      </c>
    </row>
    <row r="17" spans="1:12" ht="42" customHeight="1" x14ac:dyDescent="0.2">
      <c r="A17" s="5">
        <v>13</v>
      </c>
      <c r="B17" s="5" t="s">
        <v>57</v>
      </c>
      <c r="C17" s="6" t="s">
        <v>15</v>
      </c>
      <c r="D17" s="6" t="s">
        <v>31</v>
      </c>
      <c r="E17" s="5" t="s">
        <v>29</v>
      </c>
      <c r="F17" s="6" t="s">
        <v>58</v>
      </c>
      <c r="G17" s="6" t="s">
        <v>59</v>
      </c>
      <c r="H17" s="10" t="s">
        <v>60</v>
      </c>
      <c r="I17" s="7" t="s">
        <v>21</v>
      </c>
      <c r="J17" s="5" t="s">
        <v>17</v>
      </c>
      <c r="K17" s="6"/>
      <c r="L17" s="28" t="s">
        <v>292</v>
      </c>
    </row>
    <row r="18" spans="1:12" ht="42" customHeight="1" x14ac:dyDescent="0.2">
      <c r="A18" s="5">
        <v>14</v>
      </c>
      <c r="B18" s="5" t="s">
        <v>61</v>
      </c>
      <c r="C18" s="6" t="s">
        <v>15</v>
      </c>
      <c r="D18" s="6" t="s">
        <v>62</v>
      </c>
      <c r="E18" s="5" t="s">
        <v>63</v>
      </c>
      <c r="F18" s="6" t="s">
        <v>64</v>
      </c>
      <c r="G18" s="6" t="s">
        <v>65</v>
      </c>
      <c r="H18" s="9" t="s">
        <v>38</v>
      </c>
      <c r="I18" s="7" t="s">
        <v>21</v>
      </c>
      <c r="J18" s="5" t="s">
        <v>17</v>
      </c>
      <c r="K18" s="6"/>
      <c r="L18" s="28" t="s">
        <v>292</v>
      </c>
    </row>
    <row r="19" spans="1:12" ht="42" customHeight="1" x14ac:dyDescent="0.2">
      <c r="A19" s="5">
        <v>15</v>
      </c>
      <c r="B19" s="5" t="s">
        <v>66</v>
      </c>
      <c r="C19" s="6" t="s">
        <v>15</v>
      </c>
      <c r="D19" s="6" t="s">
        <v>62</v>
      </c>
      <c r="E19" s="5" t="s">
        <v>63</v>
      </c>
      <c r="F19" s="6" t="s">
        <v>67</v>
      </c>
      <c r="G19" s="6" t="s">
        <v>68</v>
      </c>
      <c r="H19" s="9" t="s">
        <v>38</v>
      </c>
      <c r="I19" s="7" t="s">
        <v>21</v>
      </c>
      <c r="J19" s="5" t="s">
        <v>17</v>
      </c>
      <c r="K19" s="6"/>
      <c r="L19" s="28" t="s">
        <v>292</v>
      </c>
    </row>
    <row r="20" spans="1:12" ht="42" customHeight="1" x14ac:dyDescent="0.2">
      <c r="A20" s="5">
        <v>16</v>
      </c>
      <c r="B20" s="5" t="s">
        <v>69</v>
      </c>
      <c r="C20" s="6" t="s">
        <v>15</v>
      </c>
      <c r="D20" s="6" t="s">
        <v>62</v>
      </c>
      <c r="E20" s="5" t="s">
        <v>63</v>
      </c>
      <c r="F20" s="6" t="s">
        <v>70</v>
      </c>
      <c r="G20" s="6" t="s">
        <v>71</v>
      </c>
      <c r="H20" s="7" t="s">
        <v>20</v>
      </c>
      <c r="I20" s="7" t="s">
        <v>21</v>
      </c>
      <c r="J20" s="5" t="s">
        <v>17</v>
      </c>
      <c r="K20" s="6"/>
      <c r="L20" s="28" t="s">
        <v>292</v>
      </c>
    </row>
    <row r="21" spans="1:12" ht="42" customHeight="1" x14ac:dyDescent="0.2">
      <c r="A21" s="5">
        <v>17</v>
      </c>
      <c r="B21" s="5" t="s">
        <v>72</v>
      </c>
      <c r="C21" s="6" t="s">
        <v>73</v>
      </c>
      <c r="D21" s="6" t="s">
        <v>62</v>
      </c>
      <c r="E21" s="5" t="s">
        <v>63</v>
      </c>
      <c r="F21" s="6" t="s">
        <v>74</v>
      </c>
      <c r="G21" s="6" t="s">
        <v>24</v>
      </c>
      <c r="H21" s="8" t="s">
        <v>25</v>
      </c>
      <c r="I21" s="7" t="s">
        <v>21</v>
      </c>
      <c r="J21" s="5" t="s">
        <v>17</v>
      </c>
      <c r="K21" s="6"/>
      <c r="L21" s="28" t="s">
        <v>293</v>
      </c>
    </row>
    <row r="22" spans="1:12" ht="42" customHeight="1" x14ac:dyDescent="0.2">
      <c r="A22" s="5">
        <v>18</v>
      </c>
      <c r="B22" s="5" t="s">
        <v>75</v>
      </c>
      <c r="C22" s="6" t="s">
        <v>15</v>
      </c>
      <c r="D22" s="6" t="s">
        <v>76</v>
      </c>
      <c r="E22" s="5" t="s">
        <v>77</v>
      </c>
      <c r="F22" s="6" t="s">
        <v>78</v>
      </c>
      <c r="G22" s="6" t="s">
        <v>24</v>
      </c>
      <c r="H22" s="8" t="s">
        <v>25</v>
      </c>
      <c r="I22" s="7" t="s">
        <v>21</v>
      </c>
      <c r="J22" s="5" t="s">
        <v>17</v>
      </c>
      <c r="K22" s="6"/>
      <c r="L22" s="28" t="s">
        <v>292</v>
      </c>
    </row>
    <row r="23" spans="1:12" ht="42" customHeight="1" x14ac:dyDescent="0.2">
      <c r="A23" s="5">
        <v>19</v>
      </c>
      <c r="B23" s="5" t="s">
        <v>79</v>
      </c>
      <c r="C23" s="6" t="s">
        <v>15</v>
      </c>
      <c r="D23" s="6" t="s">
        <v>76</v>
      </c>
      <c r="E23" s="5" t="s">
        <v>77</v>
      </c>
      <c r="F23" s="6" t="s">
        <v>80</v>
      </c>
      <c r="G23" s="6" t="s">
        <v>24</v>
      </c>
      <c r="H23" s="8" t="s">
        <v>25</v>
      </c>
      <c r="I23" s="7" t="s">
        <v>21</v>
      </c>
      <c r="J23" s="5" t="s">
        <v>17</v>
      </c>
      <c r="K23" s="6"/>
      <c r="L23" s="28" t="s">
        <v>292</v>
      </c>
    </row>
    <row r="24" spans="1:12" ht="42" customHeight="1" x14ac:dyDescent="0.2">
      <c r="A24" s="5">
        <v>20</v>
      </c>
      <c r="B24" s="5" t="s">
        <v>81</v>
      </c>
      <c r="C24" s="6" t="s">
        <v>27</v>
      </c>
      <c r="D24" s="6" t="s">
        <v>55</v>
      </c>
      <c r="E24" s="5" t="s">
        <v>77</v>
      </c>
      <c r="F24" s="6" t="s">
        <v>82</v>
      </c>
      <c r="G24" s="6" t="s">
        <v>83</v>
      </c>
      <c r="H24" s="7" t="s">
        <v>20</v>
      </c>
      <c r="I24" s="8" t="s">
        <v>42</v>
      </c>
      <c r="J24" s="5" t="s">
        <v>32</v>
      </c>
      <c r="K24" s="6"/>
      <c r="L24" s="28" t="s">
        <v>292</v>
      </c>
    </row>
    <row r="25" spans="1:12" ht="42" customHeight="1" x14ac:dyDescent="0.2">
      <c r="A25" s="5">
        <v>21</v>
      </c>
      <c r="B25" s="5" t="s">
        <v>84</v>
      </c>
      <c r="C25" s="6" t="s">
        <v>27</v>
      </c>
      <c r="D25" s="6" t="s">
        <v>76</v>
      </c>
      <c r="E25" s="5" t="s">
        <v>77</v>
      </c>
      <c r="F25" s="6" t="s">
        <v>85</v>
      </c>
      <c r="G25" s="6" t="s">
        <v>86</v>
      </c>
      <c r="H25" s="9" t="s">
        <v>38</v>
      </c>
      <c r="I25" s="8" t="s">
        <v>42</v>
      </c>
      <c r="J25" s="5" t="s">
        <v>32</v>
      </c>
      <c r="K25" s="6"/>
      <c r="L25" s="28" t="s">
        <v>292</v>
      </c>
    </row>
    <row r="26" spans="1:12" ht="42" customHeight="1" x14ac:dyDescent="0.2">
      <c r="A26" s="5">
        <v>22</v>
      </c>
      <c r="B26" s="5" t="s">
        <v>87</v>
      </c>
      <c r="C26" s="6" t="s">
        <v>88</v>
      </c>
      <c r="D26" s="6" t="s">
        <v>76</v>
      </c>
      <c r="E26" s="5" t="s">
        <v>77</v>
      </c>
      <c r="F26" s="6" t="s">
        <v>89</v>
      </c>
      <c r="G26" s="6" t="s">
        <v>90</v>
      </c>
      <c r="H26" s="7" t="s">
        <v>20</v>
      </c>
      <c r="I26" s="11" t="s">
        <v>91</v>
      </c>
      <c r="J26" s="5" t="s">
        <v>17</v>
      </c>
      <c r="K26" s="6"/>
      <c r="L26" s="28" t="s">
        <v>292</v>
      </c>
    </row>
    <row r="27" spans="1:12" ht="42" customHeight="1" x14ac:dyDescent="0.2">
      <c r="A27" s="5">
        <v>23</v>
      </c>
      <c r="B27" s="5" t="s">
        <v>92</v>
      </c>
      <c r="C27" s="6" t="s">
        <v>15</v>
      </c>
      <c r="D27" s="6" t="s">
        <v>76</v>
      </c>
      <c r="E27" s="5" t="s">
        <v>93</v>
      </c>
      <c r="F27" s="6" t="s">
        <v>94</v>
      </c>
      <c r="G27" s="6" t="s">
        <v>95</v>
      </c>
      <c r="H27" s="7" t="s">
        <v>20</v>
      </c>
      <c r="I27" s="7" t="s">
        <v>21</v>
      </c>
      <c r="J27" s="5" t="s">
        <v>17</v>
      </c>
      <c r="K27" s="6"/>
      <c r="L27" s="28" t="s">
        <v>292</v>
      </c>
    </row>
    <row r="28" spans="1:12" ht="42" customHeight="1" x14ac:dyDescent="0.2">
      <c r="A28" s="5">
        <v>24</v>
      </c>
      <c r="B28" s="5" t="s">
        <v>96</v>
      </c>
      <c r="C28" s="6" t="s">
        <v>27</v>
      </c>
      <c r="D28" s="6" t="s">
        <v>97</v>
      </c>
      <c r="E28" s="5" t="s">
        <v>98</v>
      </c>
      <c r="F28" s="6" t="s">
        <v>99</v>
      </c>
      <c r="G28" s="6" t="s">
        <v>24</v>
      </c>
      <c r="H28" s="8" t="s">
        <v>25</v>
      </c>
      <c r="I28" s="7" t="s">
        <v>21</v>
      </c>
      <c r="J28" s="5" t="s">
        <v>17</v>
      </c>
      <c r="K28" s="6"/>
      <c r="L28" s="28" t="s">
        <v>292</v>
      </c>
    </row>
    <row r="29" spans="1:12" ht="42" customHeight="1" x14ac:dyDescent="0.2">
      <c r="A29" s="5">
        <v>25</v>
      </c>
      <c r="B29" s="5" t="s">
        <v>100</v>
      </c>
      <c r="C29" s="6" t="s">
        <v>88</v>
      </c>
      <c r="D29" s="6" t="s">
        <v>97</v>
      </c>
      <c r="E29" s="5" t="s">
        <v>98</v>
      </c>
      <c r="F29" s="6" t="s">
        <v>101</v>
      </c>
      <c r="G29" s="6" t="s">
        <v>102</v>
      </c>
      <c r="H29" s="9" t="s">
        <v>38</v>
      </c>
      <c r="I29" s="11" t="s">
        <v>91</v>
      </c>
      <c r="J29" s="5" t="s">
        <v>17</v>
      </c>
      <c r="K29" s="6"/>
      <c r="L29" s="28" t="s">
        <v>292</v>
      </c>
    </row>
    <row r="30" spans="1:12" ht="42" customHeight="1" x14ac:dyDescent="0.2">
      <c r="A30" s="5">
        <v>26</v>
      </c>
      <c r="B30" s="5" t="s">
        <v>103</v>
      </c>
      <c r="C30" s="6" t="s">
        <v>88</v>
      </c>
      <c r="D30" s="6" t="s">
        <v>104</v>
      </c>
      <c r="E30" s="5" t="s">
        <v>105</v>
      </c>
      <c r="F30" s="6" t="s">
        <v>106</v>
      </c>
      <c r="G30" s="6" t="s">
        <v>107</v>
      </c>
      <c r="H30" s="10" t="s">
        <v>60</v>
      </c>
      <c r="I30" s="11" t="s">
        <v>91</v>
      </c>
      <c r="J30" s="5" t="s">
        <v>17</v>
      </c>
      <c r="K30" s="6"/>
      <c r="L30" s="28" t="s">
        <v>292</v>
      </c>
    </row>
    <row r="31" spans="1:12" ht="42" customHeight="1" x14ac:dyDescent="0.2">
      <c r="A31" s="5">
        <v>27</v>
      </c>
      <c r="B31" s="5" t="s">
        <v>108</v>
      </c>
      <c r="C31" s="6" t="s">
        <v>88</v>
      </c>
      <c r="D31" s="6" t="s">
        <v>97</v>
      </c>
      <c r="E31" s="5" t="s">
        <v>98</v>
      </c>
      <c r="F31" s="6" t="s">
        <v>58</v>
      </c>
      <c r="G31" s="6" t="s">
        <v>109</v>
      </c>
      <c r="H31" s="10" t="s">
        <v>60</v>
      </c>
      <c r="I31" s="11" t="s">
        <v>91</v>
      </c>
      <c r="J31" s="5" t="s">
        <v>17</v>
      </c>
      <c r="K31" s="6"/>
      <c r="L31" s="28" t="s">
        <v>292</v>
      </c>
    </row>
    <row r="32" spans="1:12" ht="42" customHeight="1" x14ac:dyDescent="0.2">
      <c r="A32" s="5">
        <v>28</v>
      </c>
      <c r="B32" s="5" t="s">
        <v>110</v>
      </c>
      <c r="C32" s="6" t="s">
        <v>27</v>
      </c>
      <c r="D32" s="6" t="s">
        <v>97</v>
      </c>
      <c r="E32" s="5" t="s">
        <v>111</v>
      </c>
      <c r="F32" s="6" t="s">
        <v>112</v>
      </c>
      <c r="G32" s="6" t="s">
        <v>113</v>
      </c>
      <c r="H32" s="9" t="s">
        <v>38</v>
      </c>
      <c r="I32" s="8" t="s">
        <v>42</v>
      </c>
      <c r="J32" s="5" t="s">
        <v>32</v>
      </c>
      <c r="K32" s="6"/>
      <c r="L32" s="28" t="s">
        <v>292</v>
      </c>
    </row>
    <row r="33" spans="1:12" ht="42" customHeight="1" x14ac:dyDescent="0.2">
      <c r="A33" s="5">
        <v>29</v>
      </c>
      <c r="B33" s="5" t="s">
        <v>114</v>
      </c>
      <c r="C33" s="6" t="s">
        <v>27</v>
      </c>
      <c r="D33" s="6" t="s">
        <v>115</v>
      </c>
      <c r="E33" s="5" t="s">
        <v>116</v>
      </c>
      <c r="F33" s="6" t="s">
        <v>117</v>
      </c>
      <c r="G33" s="6" t="s">
        <v>118</v>
      </c>
      <c r="H33" s="9" t="s">
        <v>38</v>
      </c>
      <c r="I33" s="11" t="s">
        <v>91</v>
      </c>
      <c r="J33" s="5" t="s">
        <v>17</v>
      </c>
      <c r="K33" s="6"/>
      <c r="L33" s="28" t="s">
        <v>292</v>
      </c>
    </row>
    <row r="34" spans="1:12" ht="42" customHeight="1" x14ac:dyDescent="0.2">
      <c r="A34" s="5">
        <v>30</v>
      </c>
      <c r="B34" s="5" t="s">
        <v>119</v>
      </c>
      <c r="C34" s="6" t="s">
        <v>27</v>
      </c>
      <c r="D34" s="6" t="s">
        <v>115</v>
      </c>
      <c r="E34" s="5" t="s">
        <v>116</v>
      </c>
      <c r="F34" s="6" t="s">
        <v>120</v>
      </c>
      <c r="G34" s="6" t="s">
        <v>121</v>
      </c>
      <c r="H34" s="7" t="s">
        <v>20</v>
      </c>
      <c r="I34" s="11" t="s">
        <v>91</v>
      </c>
      <c r="J34" s="5" t="s">
        <v>17</v>
      </c>
      <c r="K34" s="6"/>
      <c r="L34" s="28" t="s">
        <v>292</v>
      </c>
    </row>
    <row r="35" spans="1:12" ht="42" customHeight="1" x14ac:dyDescent="0.2">
      <c r="A35" s="5">
        <v>31</v>
      </c>
      <c r="B35" s="5" t="s">
        <v>122</v>
      </c>
      <c r="C35" s="6" t="s">
        <v>27</v>
      </c>
      <c r="D35" s="6" t="s">
        <v>115</v>
      </c>
      <c r="E35" s="5" t="s">
        <v>116</v>
      </c>
      <c r="F35" s="6" t="s">
        <v>123</v>
      </c>
      <c r="G35" s="6" t="s">
        <v>124</v>
      </c>
      <c r="H35" s="9" t="s">
        <v>38</v>
      </c>
      <c r="I35" s="8" t="s">
        <v>42</v>
      </c>
      <c r="J35" s="5" t="s">
        <v>32</v>
      </c>
      <c r="K35" s="6"/>
      <c r="L35" s="28" t="s">
        <v>292</v>
      </c>
    </row>
    <row r="36" spans="1:12" ht="42" customHeight="1" x14ac:dyDescent="0.2">
      <c r="A36" s="5">
        <v>32</v>
      </c>
      <c r="B36" s="5" t="s">
        <v>125</v>
      </c>
      <c r="C36" s="6" t="s">
        <v>126</v>
      </c>
      <c r="D36" s="6" t="s">
        <v>115</v>
      </c>
      <c r="E36" s="5" t="s">
        <v>116</v>
      </c>
      <c r="F36" s="6" t="s">
        <v>127</v>
      </c>
      <c r="G36" s="6" t="s">
        <v>128</v>
      </c>
      <c r="H36" s="10" t="s">
        <v>60</v>
      </c>
      <c r="I36" s="8" t="s">
        <v>42</v>
      </c>
      <c r="J36" s="5" t="s">
        <v>32</v>
      </c>
      <c r="K36" s="6"/>
      <c r="L36" s="28" t="s">
        <v>292</v>
      </c>
    </row>
    <row r="37" spans="1:12" ht="42" customHeight="1" x14ac:dyDescent="0.2">
      <c r="A37" s="5">
        <v>33</v>
      </c>
      <c r="B37" s="5" t="s">
        <v>129</v>
      </c>
      <c r="C37" s="6" t="s">
        <v>126</v>
      </c>
      <c r="D37" s="6" t="s">
        <v>115</v>
      </c>
      <c r="E37" s="5" t="s">
        <v>116</v>
      </c>
      <c r="F37" s="6" t="s">
        <v>127</v>
      </c>
      <c r="G37" s="6" t="s">
        <v>130</v>
      </c>
      <c r="H37" s="10" t="s">
        <v>60</v>
      </c>
      <c r="I37" s="11" t="s">
        <v>91</v>
      </c>
      <c r="J37" s="5" t="s">
        <v>17</v>
      </c>
      <c r="K37" s="6"/>
      <c r="L37" s="28" t="s">
        <v>292</v>
      </c>
    </row>
    <row r="38" spans="1:12" ht="42" customHeight="1" x14ac:dyDescent="0.2">
      <c r="A38" s="5">
        <v>34</v>
      </c>
      <c r="B38" s="5" t="s">
        <v>131</v>
      </c>
      <c r="C38" s="6" t="s">
        <v>27</v>
      </c>
      <c r="D38" s="6" t="s">
        <v>97</v>
      </c>
      <c r="E38" s="5" t="s">
        <v>132</v>
      </c>
      <c r="F38" s="6" t="s">
        <v>133</v>
      </c>
      <c r="G38" s="6" t="s">
        <v>121</v>
      </c>
      <c r="H38" s="7" t="s">
        <v>20</v>
      </c>
      <c r="I38" s="8" t="s">
        <v>42</v>
      </c>
      <c r="J38" s="5" t="s">
        <v>32</v>
      </c>
      <c r="K38" s="6"/>
      <c r="L38" s="28" t="s">
        <v>292</v>
      </c>
    </row>
    <row r="39" spans="1:12" ht="42" customHeight="1" x14ac:dyDescent="0.2">
      <c r="A39" s="5">
        <v>35</v>
      </c>
      <c r="B39" s="5" t="s">
        <v>134</v>
      </c>
      <c r="C39" s="6" t="s">
        <v>27</v>
      </c>
      <c r="D39" s="6" t="s">
        <v>97</v>
      </c>
      <c r="E39" s="5" t="s">
        <v>132</v>
      </c>
      <c r="F39" s="6" t="s">
        <v>135</v>
      </c>
      <c r="G39" s="6" t="s">
        <v>121</v>
      </c>
      <c r="H39" s="7" t="s">
        <v>20</v>
      </c>
      <c r="I39" s="12" t="s">
        <v>136</v>
      </c>
      <c r="J39" s="5" t="s">
        <v>29</v>
      </c>
      <c r="K39" s="6"/>
      <c r="L39" s="28" t="s">
        <v>292</v>
      </c>
    </row>
    <row r="40" spans="1:12" ht="42" customHeight="1" x14ac:dyDescent="0.2">
      <c r="A40" s="5">
        <v>36</v>
      </c>
      <c r="B40" s="5" t="s">
        <v>137</v>
      </c>
      <c r="C40" s="6" t="s">
        <v>15</v>
      </c>
      <c r="D40" s="6" t="s">
        <v>138</v>
      </c>
      <c r="E40" s="5" t="s">
        <v>139</v>
      </c>
      <c r="F40" s="6" t="s">
        <v>140</v>
      </c>
      <c r="G40" s="6" t="s">
        <v>24</v>
      </c>
      <c r="H40" s="8" t="s">
        <v>25</v>
      </c>
      <c r="I40" s="7" t="s">
        <v>21</v>
      </c>
      <c r="J40" s="5" t="s">
        <v>17</v>
      </c>
      <c r="K40" s="6"/>
      <c r="L40" s="28" t="s">
        <v>292</v>
      </c>
    </row>
    <row r="41" spans="1:12" ht="42" customHeight="1" x14ac:dyDescent="0.2">
      <c r="A41" s="5">
        <v>37</v>
      </c>
      <c r="B41" s="5" t="s">
        <v>141</v>
      </c>
      <c r="C41" s="6" t="s">
        <v>27</v>
      </c>
      <c r="D41" s="6" t="s">
        <v>138</v>
      </c>
      <c r="E41" s="5" t="s">
        <v>142</v>
      </c>
      <c r="F41" s="6" t="s">
        <v>143</v>
      </c>
      <c r="G41" s="6" t="s">
        <v>144</v>
      </c>
      <c r="H41" s="7" t="s">
        <v>20</v>
      </c>
      <c r="I41" s="8" t="s">
        <v>42</v>
      </c>
      <c r="J41" s="5" t="s">
        <v>32</v>
      </c>
      <c r="K41" s="6"/>
      <c r="L41" s="28" t="s">
        <v>292</v>
      </c>
    </row>
    <row r="42" spans="1:12" ht="42" customHeight="1" x14ac:dyDescent="0.2">
      <c r="A42" s="5">
        <v>38</v>
      </c>
      <c r="B42" s="5" t="s">
        <v>145</v>
      </c>
      <c r="C42" s="6" t="s">
        <v>27</v>
      </c>
      <c r="D42" s="6" t="s">
        <v>138</v>
      </c>
      <c r="E42" s="5" t="s">
        <v>142</v>
      </c>
      <c r="F42" s="6" t="s">
        <v>146</v>
      </c>
      <c r="G42" s="6" t="s">
        <v>147</v>
      </c>
      <c r="H42" s="9" t="s">
        <v>38</v>
      </c>
      <c r="I42" s="7" t="s">
        <v>21</v>
      </c>
      <c r="J42" s="5" t="s">
        <v>17</v>
      </c>
      <c r="K42" s="6"/>
      <c r="L42" s="28" t="s">
        <v>292</v>
      </c>
    </row>
    <row r="43" spans="1:12" ht="42" customHeight="1" x14ac:dyDescent="0.2">
      <c r="A43" s="5">
        <v>39</v>
      </c>
      <c r="B43" s="5" t="s">
        <v>148</v>
      </c>
      <c r="C43" s="6" t="s">
        <v>27</v>
      </c>
      <c r="D43" s="6" t="s">
        <v>138</v>
      </c>
      <c r="E43" s="5" t="s">
        <v>142</v>
      </c>
      <c r="F43" s="6" t="s">
        <v>149</v>
      </c>
      <c r="G43" s="6" t="s">
        <v>150</v>
      </c>
      <c r="H43" s="11" t="s">
        <v>151</v>
      </c>
      <c r="I43" s="8" t="s">
        <v>42</v>
      </c>
      <c r="J43" s="5" t="s">
        <v>32</v>
      </c>
      <c r="K43" s="6"/>
      <c r="L43" s="28" t="s">
        <v>294</v>
      </c>
    </row>
    <row r="44" spans="1:12" ht="42" customHeight="1" x14ac:dyDescent="0.2">
      <c r="A44" s="5">
        <v>40</v>
      </c>
      <c r="B44" s="5" t="s">
        <v>152</v>
      </c>
      <c r="C44" s="6" t="s">
        <v>27</v>
      </c>
      <c r="D44" s="6" t="s">
        <v>138</v>
      </c>
      <c r="E44" s="5" t="s">
        <v>142</v>
      </c>
      <c r="F44" s="6" t="s">
        <v>58</v>
      </c>
      <c r="G44" s="6" t="s">
        <v>153</v>
      </c>
      <c r="H44" s="10" t="s">
        <v>60</v>
      </c>
      <c r="I44" s="7" t="s">
        <v>21</v>
      </c>
      <c r="J44" s="5" t="s">
        <v>17</v>
      </c>
      <c r="K44" s="6"/>
      <c r="L44" s="28" t="s">
        <v>292</v>
      </c>
    </row>
    <row r="45" spans="1:12" ht="42" customHeight="1" x14ac:dyDescent="0.2">
      <c r="A45" s="5">
        <v>41</v>
      </c>
      <c r="B45" s="5" t="s">
        <v>154</v>
      </c>
      <c r="C45" s="6" t="s">
        <v>27</v>
      </c>
      <c r="D45" s="6" t="s">
        <v>155</v>
      </c>
      <c r="E45" s="5" t="s">
        <v>156</v>
      </c>
      <c r="F45" s="6" t="s">
        <v>157</v>
      </c>
      <c r="G45" s="6" t="s">
        <v>24</v>
      </c>
      <c r="H45" s="8" t="s">
        <v>25</v>
      </c>
      <c r="I45" s="8" t="s">
        <v>42</v>
      </c>
      <c r="J45" s="5" t="s">
        <v>32</v>
      </c>
      <c r="K45" s="6"/>
      <c r="L45" s="28" t="s">
        <v>292</v>
      </c>
    </row>
    <row r="46" spans="1:12" ht="42" customHeight="1" x14ac:dyDescent="0.2">
      <c r="A46" s="5">
        <v>42</v>
      </c>
      <c r="B46" s="5" t="s">
        <v>158</v>
      </c>
      <c r="C46" s="6" t="s">
        <v>27</v>
      </c>
      <c r="D46" s="6" t="s">
        <v>159</v>
      </c>
      <c r="E46" s="5" t="s">
        <v>156</v>
      </c>
      <c r="F46" s="6" t="s">
        <v>160</v>
      </c>
      <c r="G46" s="6" t="s">
        <v>161</v>
      </c>
      <c r="H46" s="7" t="s">
        <v>20</v>
      </c>
      <c r="I46" s="7" t="s">
        <v>21</v>
      </c>
      <c r="J46" s="5" t="s">
        <v>32</v>
      </c>
      <c r="K46" s="6"/>
      <c r="L46" s="28" t="s">
        <v>292</v>
      </c>
    </row>
    <row r="47" spans="1:12" ht="42" customHeight="1" x14ac:dyDescent="0.2">
      <c r="A47" s="5">
        <v>43</v>
      </c>
      <c r="B47" s="5" t="s">
        <v>162</v>
      </c>
      <c r="C47" s="6" t="s">
        <v>27</v>
      </c>
      <c r="D47" s="6" t="s">
        <v>155</v>
      </c>
      <c r="E47" s="5" t="s">
        <v>156</v>
      </c>
      <c r="F47" s="6" t="s">
        <v>163</v>
      </c>
      <c r="G47" s="6" t="s">
        <v>164</v>
      </c>
      <c r="H47" s="7" t="s">
        <v>20</v>
      </c>
      <c r="I47" s="7" t="s">
        <v>21</v>
      </c>
      <c r="J47" s="5" t="s">
        <v>32</v>
      </c>
      <c r="K47" s="6"/>
      <c r="L47" s="28" t="s">
        <v>292</v>
      </c>
    </row>
    <row r="48" spans="1:12" ht="42" customHeight="1" x14ac:dyDescent="0.2">
      <c r="A48" s="5">
        <v>44</v>
      </c>
      <c r="B48" s="5" t="s">
        <v>165</v>
      </c>
      <c r="C48" s="6" t="s">
        <v>73</v>
      </c>
      <c r="D48" s="6" t="s">
        <v>155</v>
      </c>
      <c r="E48" s="5" t="s">
        <v>156</v>
      </c>
      <c r="F48" s="6" t="s">
        <v>166</v>
      </c>
      <c r="G48" s="6" t="s">
        <v>121</v>
      </c>
      <c r="H48" s="7" t="s">
        <v>20</v>
      </c>
      <c r="I48" s="7" t="s">
        <v>21</v>
      </c>
      <c r="J48" s="5" t="s">
        <v>32</v>
      </c>
      <c r="K48" s="6"/>
      <c r="L48" s="28" t="s">
        <v>292</v>
      </c>
    </row>
    <row r="49" spans="1:12" ht="42" customHeight="1" x14ac:dyDescent="0.2">
      <c r="A49" s="5">
        <v>45</v>
      </c>
      <c r="B49" s="5" t="s">
        <v>167</v>
      </c>
      <c r="C49" s="6" t="s">
        <v>126</v>
      </c>
      <c r="D49" s="6" t="s">
        <v>155</v>
      </c>
      <c r="E49" s="5" t="s">
        <v>156</v>
      </c>
      <c r="F49" s="6" t="s">
        <v>58</v>
      </c>
      <c r="G49" s="6" t="s">
        <v>168</v>
      </c>
      <c r="H49" s="10" t="s">
        <v>60</v>
      </c>
      <c r="I49" s="8" t="s">
        <v>42</v>
      </c>
      <c r="J49" s="5" t="s">
        <v>32</v>
      </c>
      <c r="K49" s="6"/>
      <c r="L49" s="28" t="s">
        <v>292</v>
      </c>
    </row>
    <row r="50" spans="1:12" ht="42" customHeight="1" x14ac:dyDescent="0.2">
      <c r="A50" s="5">
        <v>46</v>
      </c>
      <c r="B50" s="5" t="s">
        <v>169</v>
      </c>
      <c r="C50" s="6" t="s">
        <v>126</v>
      </c>
      <c r="D50" s="6" t="s">
        <v>155</v>
      </c>
      <c r="E50" s="5" t="s">
        <v>156</v>
      </c>
      <c r="F50" s="6" t="s">
        <v>58</v>
      </c>
      <c r="G50" s="6" t="s">
        <v>170</v>
      </c>
      <c r="H50" s="10" t="s">
        <v>60</v>
      </c>
      <c r="I50" s="8" t="s">
        <v>42</v>
      </c>
      <c r="J50" s="5" t="s">
        <v>32</v>
      </c>
      <c r="K50" s="6"/>
      <c r="L50" s="28" t="s">
        <v>292</v>
      </c>
    </row>
    <row r="51" spans="1:12" ht="42" customHeight="1" x14ac:dyDescent="0.2">
      <c r="A51" s="5">
        <v>47</v>
      </c>
      <c r="B51" s="5" t="s">
        <v>171</v>
      </c>
      <c r="C51" s="6" t="s">
        <v>15</v>
      </c>
      <c r="D51" s="6" t="s">
        <v>172</v>
      </c>
      <c r="E51" s="5" t="s">
        <v>173</v>
      </c>
      <c r="F51" s="6" t="s">
        <v>174</v>
      </c>
      <c r="G51" s="6" t="s">
        <v>175</v>
      </c>
      <c r="H51" s="7" t="s">
        <v>20</v>
      </c>
      <c r="I51" s="7" t="s">
        <v>21</v>
      </c>
      <c r="J51" s="5" t="s">
        <v>17</v>
      </c>
      <c r="K51" s="6"/>
      <c r="L51" s="28" t="s">
        <v>292</v>
      </c>
    </row>
    <row r="52" spans="1:12" ht="42" customHeight="1" x14ac:dyDescent="0.2">
      <c r="A52" s="5">
        <v>48</v>
      </c>
      <c r="B52" s="5" t="s">
        <v>176</v>
      </c>
      <c r="C52" s="6" t="s">
        <v>27</v>
      </c>
      <c r="D52" s="6" t="s">
        <v>172</v>
      </c>
      <c r="E52" s="5" t="s">
        <v>173</v>
      </c>
      <c r="F52" s="6" t="s">
        <v>177</v>
      </c>
      <c r="G52" s="6" t="s">
        <v>178</v>
      </c>
      <c r="H52" s="9" t="s">
        <v>38</v>
      </c>
      <c r="I52" s="12" t="s">
        <v>136</v>
      </c>
      <c r="J52" s="5" t="s">
        <v>29</v>
      </c>
      <c r="K52" s="6"/>
      <c r="L52" s="28" t="s">
        <v>292</v>
      </c>
    </row>
    <row r="53" spans="1:12" ht="42" customHeight="1" x14ac:dyDescent="0.2">
      <c r="A53" s="5">
        <v>49</v>
      </c>
      <c r="B53" s="5" t="s">
        <v>179</v>
      </c>
      <c r="C53" s="6" t="s">
        <v>73</v>
      </c>
      <c r="D53" s="6" t="s">
        <v>172</v>
      </c>
      <c r="E53" s="5" t="s">
        <v>173</v>
      </c>
      <c r="F53" s="6" t="s">
        <v>180</v>
      </c>
      <c r="G53" s="6" t="s">
        <v>121</v>
      </c>
      <c r="H53" s="7" t="s">
        <v>20</v>
      </c>
      <c r="I53" s="8" t="s">
        <v>42</v>
      </c>
      <c r="J53" s="5" t="s">
        <v>32</v>
      </c>
      <c r="K53" s="6"/>
      <c r="L53" s="28" t="s">
        <v>292</v>
      </c>
    </row>
    <row r="54" spans="1:12" ht="42" customHeight="1" x14ac:dyDescent="0.2">
      <c r="A54" s="5">
        <v>50</v>
      </c>
      <c r="B54" s="5" t="s">
        <v>181</v>
      </c>
      <c r="C54" s="6" t="s">
        <v>15</v>
      </c>
      <c r="D54" s="6" t="s">
        <v>182</v>
      </c>
      <c r="E54" s="5" t="s">
        <v>183</v>
      </c>
      <c r="F54" s="6" t="s">
        <v>184</v>
      </c>
      <c r="G54" s="6" t="s">
        <v>185</v>
      </c>
      <c r="H54" s="7" t="s">
        <v>20</v>
      </c>
      <c r="I54" s="7" t="s">
        <v>21</v>
      </c>
      <c r="J54" s="5" t="s">
        <v>17</v>
      </c>
      <c r="K54" s="6"/>
      <c r="L54" s="28" t="s">
        <v>292</v>
      </c>
    </row>
    <row r="55" spans="1:12" ht="42" customHeight="1" x14ac:dyDescent="0.2">
      <c r="A55" s="5">
        <v>51</v>
      </c>
      <c r="B55" s="5" t="s">
        <v>186</v>
      </c>
      <c r="C55" s="6" t="s">
        <v>27</v>
      </c>
      <c r="D55" s="6" t="s">
        <v>182</v>
      </c>
      <c r="E55" s="5" t="s">
        <v>183</v>
      </c>
      <c r="F55" s="6" t="s">
        <v>187</v>
      </c>
      <c r="G55" s="6" t="s">
        <v>188</v>
      </c>
      <c r="H55" s="9" t="s">
        <v>38</v>
      </c>
      <c r="I55" s="7" t="s">
        <v>21</v>
      </c>
      <c r="J55" s="5" t="s">
        <v>32</v>
      </c>
      <c r="K55" s="6"/>
      <c r="L55" s="28" t="s">
        <v>295</v>
      </c>
    </row>
    <row r="56" spans="1:12" ht="42" customHeight="1" x14ac:dyDescent="0.2">
      <c r="A56" s="5">
        <v>52</v>
      </c>
      <c r="B56" s="5" t="s">
        <v>189</v>
      </c>
      <c r="C56" s="6" t="s">
        <v>27</v>
      </c>
      <c r="D56" s="6" t="s">
        <v>190</v>
      </c>
      <c r="E56" s="5" t="s">
        <v>24</v>
      </c>
      <c r="F56" s="6" t="s">
        <v>191</v>
      </c>
      <c r="G56" s="6" t="s">
        <v>192</v>
      </c>
      <c r="H56" s="11" t="s">
        <v>151</v>
      </c>
      <c r="I56" s="7" t="s">
        <v>21</v>
      </c>
      <c r="J56" s="5" t="s">
        <v>32</v>
      </c>
      <c r="K56" s="6"/>
      <c r="L56" s="28" t="s">
        <v>295</v>
      </c>
    </row>
    <row r="57" spans="1:12" ht="42" customHeight="1" x14ac:dyDescent="0.2">
      <c r="A57" s="5">
        <v>53</v>
      </c>
      <c r="B57" s="5" t="s">
        <v>193</v>
      </c>
      <c r="C57" s="6" t="s">
        <v>73</v>
      </c>
      <c r="D57" s="6" t="s">
        <v>194</v>
      </c>
      <c r="E57" s="5" t="s">
        <v>195</v>
      </c>
      <c r="F57" s="6" t="s">
        <v>196</v>
      </c>
      <c r="G57" s="6" t="s">
        <v>197</v>
      </c>
      <c r="H57" s="9" t="s">
        <v>38</v>
      </c>
      <c r="I57" s="11" t="s">
        <v>91</v>
      </c>
      <c r="J57" s="5" t="s">
        <v>17</v>
      </c>
      <c r="K57" s="6"/>
      <c r="L57" s="28" t="s">
        <v>292</v>
      </c>
    </row>
    <row r="58" spans="1:12" ht="42" customHeight="1" x14ac:dyDescent="0.2">
      <c r="A58" s="5">
        <v>54</v>
      </c>
      <c r="B58" s="5" t="s">
        <v>198</v>
      </c>
      <c r="C58" s="6" t="s">
        <v>88</v>
      </c>
      <c r="D58" s="6" t="s">
        <v>194</v>
      </c>
      <c r="E58" s="5" t="s">
        <v>195</v>
      </c>
      <c r="F58" s="6" t="s">
        <v>199</v>
      </c>
      <c r="G58" s="6" t="s">
        <v>200</v>
      </c>
      <c r="H58" s="9" t="s">
        <v>38</v>
      </c>
      <c r="I58" s="8" t="s">
        <v>42</v>
      </c>
      <c r="J58" s="5" t="s">
        <v>32</v>
      </c>
      <c r="K58" s="6"/>
      <c r="L58" s="28" t="s">
        <v>292</v>
      </c>
    </row>
    <row r="59" spans="1:12" ht="42" customHeight="1" x14ac:dyDescent="0.2">
      <c r="A59" s="5">
        <v>55</v>
      </c>
      <c r="B59" s="5" t="s">
        <v>201</v>
      </c>
      <c r="C59" s="6" t="s">
        <v>88</v>
      </c>
      <c r="D59" s="6" t="s">
        <v>202</v>
      </c>
      <c r="E59" s="5" t="s">
        <v>195</v>
      </c>
      <c r="F59" s="6" t="s">
        <v>203</v>
      </c>
      <c r="G59" s="6" t="s">
        <v>121</v>
      </c>
      <c r="H59" s="7" t="s">
        <v>20</v>
      </c>
      <c r="I59" s="8" t="s">
        <v>42</v>
      </c>
      <c r="J59" s="5" t="s">
        <v>32</v>
      </c>
      <c r="K59" s="6"/>
      <c r="L59" s="28" t="s">
        <v>292</v>
      </c>
    </row>
    <row r="60" spans="1:12" ht="42" customHeight="1" x14ac:dyDescent="0.2">
      <c r="A60" s="5">
        <v>56</v>
      </c>
      <c r="B60" s="5" t="s">
        <v>204</v>
      </c>
      <c r="C60" s="6" t="s">
        <v>73</v>
      </c>
      <c r="D60" s="6" t="s">
        <v>205</v>
      </c>
      <c r="E60" s="5" t="s">
        <v>195</v>
      </c>
      <c r="F60" s="28" t="s">
        <v>206</v>
      </c>
      <c r="G60" s="6" t="s">
        <v>207</v>
      </c>
      <c r="H60" s="11" t="s">
        <v>151</v>
      </c>
      <c r="I60" s="12" t="s">
        <v>136</v>
      </c>
      <c r="J60" s="5" t="s">
        <v>29</v>
      </c>
      <c r="K60" s="6"/>
      <c r="L60" s="28" t="s">
        <v>296</v>
      </c>
    </row>
  </sheetData>
  <autoFilter ref="A4:L60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22" customWidth="1"/>
    <col min="2" max="2" width="60" customWidth="1"/>
    <col min="3" max="3" width="42" customWidth="1"/>
    <col min="4" max="4" width="12" customWidth="1"/>
  </cols>
  <sheetData>
    <row r="1" spans="1:6" ht="17" x14ac:dyDescent="0.2">
      <c r="A1" s="3" t="s">
        <v>208</v>
      </c>
      <c r="B1" s="3"/>
      <c r="C1" s="3"/>
      <c r="D1" s="3"/>
      <c r="E1" s="3"/>
      <c r="F1" s="3"/>
    </row>
    <row r="3" spans="1:6" x14ac:dyDescent="0.2">
      <c r="A3" s="4" t="s">
        <v>9</v>
      </c>
      <c r="B3" s="4" t="s">
        <v>209</v>
      </c>
      <c r="C3" s="4" t="s">
        <v>210</v>
      </c>
      <c r="D3" s="4" t="s">
        <v>211</v>
      </c>
    </row>
    <row r="4" spans="1:6" x14ac:dyDescent="0.2">
      <c r="A4" s="13" t="s">
        <v>20</v>
      </c>
      <c r="B4" s="6" t="s">
        <v>212</v>
      </c>
      <c r="C4" s="5">
        <f>COUNTIF('Full Checklist'!H5:H60,A4)</f>
        <v>22</v>
      </c>
      <c r="D4" s="5">
        <f>C4/SUM(C4:C8)*100</f>
        <v>39.285714285714285</v>
      </c>
    </row>
    <row r="5" spans="1:6" x14ac:dyDescent="0.2">
      <c r="A5" s="14" t="s">
        <v>25</v>
      </c>
      <c r="B5" s="6" t="s">
        <v>213</v>
      </c>
      <c r="C5" s="5">
        <f>COUNTIF('Full Checklist'!H5:H60,A5)</f>
        <v>9</v>
      </c>
      <c r="D5" s="5">
        <f>C5/SUM(C4:C8)*100</f>
        <v>16.071428571428573</v>
      </c>
    </row>
    <row r="6" spans="1:6" x14ac:dyDescent="0.2">
      <c r="A6" s="15" t="s">
        <v>38</v>
      </c>
      <c r="B6" s="6" t="s">
        <v>214</v>
      </c>
      <c r="C6" s="5">
        <f>COUNTIF('Full Checklist'!H5:H60,A6)</f>
        <v>14</v>
      </c>
      <c r="D6" s="5">
        <f>C6/SUM(C4:C8)*100</f>
        <v>25</v>
      </c>
    </row>
    <row r="7" spans="1:6" x14ac:dyDescent="0.2">
      <c r="A7" s="16" t="s">
        <v>151</v>
      </c>
      <c r="B7" s="6" t="s">
        <v>215</v>
      </c>
      <c r="C7" s="5">
        <f>COUNTIF('Full Checklist'!H5:H60,A7)</f>
        <v>3</v>
      </c>
      <c r="D7" s="5">
        <f>C7/SUM(C4:C8)*100</f>
        <v>5.3571428571428568</v>
      </c>
    </row>
    <row r="8" spans="1:6" x14ac:dyDescent="0.2">
      <c r="A8" s="17" t="s">
        <v>60</v>
      </c>
      <c r="B8" s="6" t="s">
        <v>216</v>
      </c>
      <c r="C8" s="5">
        <f>COUNTIF('Full Checklist'!H5:H60,A8)</f>
        <v>8</v>
      </c>
      <c r="D8" s="5">
        <f>C8/SUM(C4:C8)*100</f>
        <v>14.285714285714285</v>
      </c>
    </row>
    <row r="9" spans="1:6" x14ac:dyDescent="0.2">
      <c r="A9" s="18" t="s">
        <v>217</v>
      </c>
      <c r="B9" s="6"/>
      <c r="C9" s="19">
        <f>SUM(C4:C8)</f>
        <v>56</v>
      </c>
    </row>
    <row r="11" spans="1:6" x14ac:dyDescent="0.2">
      <c r="A11" s="4" t="s">
        <v>10</v>
      </c>
      <c r="B11" s="4" t="s">
        <v>218</v>
      </c>
      <c r="C11" s="4" t="s">
        <v>210</v>
      </c>
    </row>
    <row r="12" spans="1:6" x14ac:dyDescent="0.2">
      <c r="A12" s="11" t="s">
        <v>91</v>
      </c>
      <c r="B12" s="5" t="s">
        <v>219</v>
      </c>
      <c r="C12" s="5">
        <f>COUNTIF('Full Checklist'!I5:I60,"P0")</f>
        <v>8</v>
      </c>
    </row>
    <row r="13" spans="1:6" x14ac:dyDescent="0.2">
      <c r="A13" s="8" t="s">
        <v>42</v>
      </c>
      <c r="B13" s="5" t="s">
        <v>220</v>
      </c>
      <c r="C13" s="5">
        <f>COUNTIF('Full Checklist'!I5:I60,"P1")</f>
        <v>18</v>
      </c>
    </row>
    <row r="14" spans="1:6" x14ac:dyDescent="0.2">
      <c r="A14" s="7" t="s">
        <v>21</v>
      </c>
      <c r="B14" s="5" t="s">
        <v>221</v>
      </c>
      <c r="C14" s="5">
        <f>COUNTIF('Full Checklist'!I5:I60,"P2")</f>
        <v>27</v>
      </c>
    </row>
    <row r="15" spans="1:6" x14ac:dyDescent="0.2">
      <c r="A15" s="12" t="s">
        <v>136</v>
      </c>
      <c r="B15" s="5" t="s">
        <v>222</v>
      </c>
      <c r="C15" s="5">
        <f>COUNTIF('Full Checklist'!I5:I60,"P3")</f>
        <v>3</v>
      </c>
    </row>
    <row r="16" spans="1:6" x14ac:dyDescent="0.2">
      <c r="A16" s="18" t="s">
        <v>217</v>
      </c>
      <c r="C16" s="19">
        <f>SUM(C12:C15)</f>
        <v>56</v>
      </c>
    </row>
    <row r="18" spans="1:6" x14ac:dyDescent="0.2">
      <c r="A18" s="1" t="s">
        <v>223</v>
      </c>
      <c r="B18" s="1"/>
      <c r="C18" s="1"/>
      <c r="D18" s="1"/>
      <c r="E18" s="1"/>
      <c r="F18" s="1"/>
    </row>
    <row r="19" spans="1:6" x14ac:dyDescent="0.2">
      <c r="A19" s="4" t="s">
        <v>224</v>
      </c>
      <c r="B19" s="4" t="s">
        <v>225</v>
      </c>
      <c r="C19" s="4" t="s">
        <v>226</v>
      </c>
    </row>
    <row r="20" spans="1:6" ht="31.5" customHeight="1" x14ac:dyDescent="0.2">
      <c r="A20" s="18" t="s">
        <v>227</v>
      </c>
      <c r="B20" s="6" t="s">
        <v>228</v>
      </c>
      <c r="C20" s="6" t="s">
        <v>229</v>
      </c>
    </row>
    <row r="21" spans="1:6" ht="31.5" customHeight="1" x14ac:dyDescent="0.2">
      <c r="A21" s="18" t="s">
        <v>230</v>
      </c>
      <c r="B21" s="6" t="s">
        <v>231</v>
      </c>
      <c r="C21" s="6" t="s">
        <v>232</v>
      </c>
    </row>
    <row r="22" spans="1:6" ht="31.5" customHeight="1" x14ac:dyDescent="0.2">
      <c r="A22" s="18" t="s">
        <v>233</v>
      </c>
      <c r="B22" s="6" t="s">
        <v>234</v>
      </c>
      <c r="C22" s="6" t="s">
        <v>235</v>
      </c>
    </row>
    <row r="23" spans="1:6" ht="31.5" customHeight="1" x14ac:dyDescent="0.2">
      <c r="A23" s="18" t="s">
        <v>236</v>
      </c>
      <c r="B23" s="6" t="s">
        <v>237</v>
      </c>
      <c r="C23" s="6" t="s">
        <v>238</v>
      </c>
    </row>
    <row r="24" spans="1:6" ht="31.5" customHeight="1" x14ac:dyDescent="0.2">
      <c r="A24" s="18" t="s">
        <v>239</v>
      </c>
      <c r="B24" s="6" t="s">
        <v>240</v>
      </c>
      <c r="C24" s="6" t="s">
        <v>241</v>
      </c>
    </row>
    <row r="25" spans="1:6" ht="31.5" customHeight="1" x14ac:dyDescent="0.2">
      <c r="A25" s="18" t="s">
        <v>242</v>
      </c>
      <c r="B25" s="6" t="s">
        <v>243</v>
      </c>
      <c r="C25" s="6" t="s">
        <v>244</v>
      </c>
    </row>
    <row r="26" spans="1:6" ht="31.5" customHeight="1" x14ac:dyDescent="0.2">
      <c r="A26" s="18" t="s">
        <v>245</v>
      </c>
      <c r="B26" s="6" t="s">
        <v>246</v>
      </c>
      <c r="C26" s="6" t="s">
        <v>247</v>
      </c>
    </row>
    <row r="27" spans="1:6" ht="31.5" customHeight="1" x14ac:dyDescent="0.2">
      <c r="A27" s="18" t="s">
        <v>248</v>
      </c>
      <c r="B27" s="6" t="s">
        <v>249</v>
      </c>
      <c r="C27" s="6" t="s">
        <v>250</v>
      </c>
    </row>
    <row r="28" spans="1:6" ht="31.5" customHeight="1" x14ac:dyDescent="0.2">
      <c r="A28" s="18" t="s">
        <v>251</v>
      </c>
      <c r="B28" s="6" t="s">
        <v>252</v>
      </c>
      <c r="C28" s="6" t="s">
        <v>253</v>
      </c>
    </row>
    <row r="29" spans="1:6" ht="31.5" customHeight="1" x14ac:dyDescent="0.2">
      <c r="A29" s="18" t="s">
        <v>254</v>
      </c>
      <c r="B29" s="6" t="s">
        <v>255</v>
      </c>
      <c r="C29" s="6" t="s">
        <v>256</v>
      </c>
    </row>
    <row r="30" spans="1:6" ht="31.5" customHeight="1" x14ac:dyDescent="0.2">
      <c r="A30" s="18" t="s">
        <v>257</v>
      </c>
      <c r="B30" s="6" t="s">
        <v>258</v>
      </c>
      <c r="C30" s="6" t="s">
        <v>259</v>
      </c>
    </row>
    <row r="31" spans="1:6" ht="31.5" customHeight="1" x14ac:dyDescent="0.2">
      <c r="A31" s="18" t="s">
        <v>260</v>
      </c>
      <c r="B31" s="6" t="s">
        <v>261</v>
      </c>
      <c r="C31" s="6" t="s">
        <v>262</v>
      </c>
    </row>
  </sheetData>
  <mergeCells count="2">
    <mergeCell ref="A1:F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18" customWidth="1"/>
    <col min="2" max="3" width="12" customWidth="1"/>
    <col min="4" max="4" width="45" customWidth="1"/>
  </cols>
  <sheetData>
    <row r="1" spans="1:4" ht="17" x14ac:dyDescent="0.2">
      <c r="A1" s="3" t="s">
        <v>263</v>
      </c>
      <c r="B1" s="3"/>
      <c r="C1" s="3"/>
      <c r="D1" s="3"/>
    </row>
    <row r="3" spans="1:4" x14ac:dyDescent="0.2">
      <c r="A3" s="4" t="s">
        <v>264</v>
      </c>
      <c r="B3" s="4" t="s">
        <v>265</v>
      </c>
      <c r="C3" s="4" t="s">
        <v>266</v>
      </c>
      <c r="D3" s="4" t="s">
        <v>267</v>
      </c>
    </row>
    <row r="4" spans="1:4" x14ac:dyDescent="0.2">
      <c r="A4" s="18" t="s">
        <v>268</v>
      </c>
      <c r="B4" s="20" t="s">
        <v>269</v>
      </c>
      <c r="C4" s="5" t="s">
        <v>270</v>
      </c>
      <c r="D4" s="6" t="s">
        <v>271</v>
      </c>
    </row>
    <row r="5" spans="1:4" x14ac:dyDescent="0.2">
      <c r="A5" s="18" t="s">
        <v>272</v>
      </c>
      <c r="B5" s="21" t="s">
        <v>273</v>
      </c>
      <c r="C5" s="5" t="s">
        <v>274</v>
      </c>
      <c r="D5" s="6"/>
    </row>
    <row r="6" spans="1:4" x14ac:dyDescent="0.2">
      <c r="A6" s="18" t="s">
        <v>275</v>
      </c>
      <c r="B6" s="22" t="s">
        <v>276</v>
      </c>
      <c r="C6" s="5" t="s">
        <v>277</v>
      </c>
      <c r="D6" s="6"/>
    </row>
    <row r="7" spans="1:4" x14ac:dyDescent="0.2">
      <c r="A7" s="18" t="s">
        <v>278</v>
      </c>
      <c r="B7" s="23" t="s">
        <v>279</v>
      </c>
      <c r="C7" s="5" t="s">
        <v>280</v>
      </c>
      <c r="D7" s="6"/>
    </row>
    <row r="8" spans="1:4" x14ac:dyDescent="0.2">
      <c r="A8" s="18" t="s">
        <v>281</v>
      </c>
      <c r="B8" s="24" t="s">
        <v>282</v>
      </c>
      <c r="C8" s="5" t="s">
        <v>283</v>
      </c>
      <c r="D8" s="6"/>
    </row>
    <row r="9" spans="1:4" x14ac:dyDescent="0.2">
      <c r="A9" s="18" t="s">
        <v>284</v>
      </c>
      <c r="B9" s="25" t="s">
        <v>285</v>
      </c>
      <c r="C9" s="5" t="s">
        <v>286</v>
      </c>
      <c r="D9" s="6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Checklist</vt:lpstr>
      <vt:lpstr>Summary</vt:lpstr>
      <vt:lpstr>Status 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karn chw</cp:lastModifiedBy>
  <cp:revision>0</cp:revision>
  <dcterms:created xsi:type="dcterms:W3CDTF">2026-04-06T06:46:14Z</dcterms:created>
  <dcterms:modified xsi:type="dcterms:W3CDTF">2026-04-06T07:21:11Z</dcterms:modified>
  <dc:language>en-US</dc:language>
</cp:coreProperties>
</file>